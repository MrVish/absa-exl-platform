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acklog" sheetId="2" state="visible" r:id="rId2"/>
    <sheet name="Sprint Plan" sheetId="3" state="visible" r:id="rId3"/>
    <sheet name="Role Load" sheetId="4" state="visible" r:id="rId4"/>
    <sheet name="Per-Model Tracker" sheetId="5" state="visible" r:id="rId5"/>
    <sheet name="Governance &amp; Cadence" sheetId="6" state="visible" r:id="rId6"/>
    <sheet name="RAID Log" sheetId="7" state="visible" r:id="rId7"/>
    <sheet name="Dashboard" sheetId="8" state="visible" r:id="rId8"/>
  </sheets>
  <definedNames>
    <definedName name="_xlnm._FilterDatabase" localSheetId="1" hidden="1">'Backlog'!$A$3:$N$337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808080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172"/>
      </patternFill>
    </fill>
    <fill>
      <patternFill patternType="solid">
        <fgColor rgb="00D9E2F3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F2F2F2"/>
      </patternFill>
    </fill>
    <fill>
      <patternFill patternType="solid">
        <fgColor rgb="00FFF9C4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164" fontId="0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ABSA x EXL - Agile Sprint Plan (in-depth)</t>
        </is>
      </c>
    </row>
    <row r="2">
      <c r="A2" s="2" t="inlineStr"/>
    </row>
    <row r="3">
      <c r="A3" s="2" t="inlineStr">
        <is>
          <t>Anchoring: Sprint 1 = Mon 2026-06-15. 12 sprints x 2 weeks ~ 6 months.</t>
        </is>
      </c>
    </row>
    <row r="4">
      <c r="A4" s="2" t="inlineStr">
        <is>
          <t>Group 1 ABSA sign-off targeted end of Sprint 8 (2026-10-02). All 10 models live by end S11; Group 2 sign-off + go-live end S12.</t>
        </is>
      </c>
    </row>
    <row r="5">
      <c r="A5" s="2" t="inlineStr"/>
    </row>
    <row r="6">
      <c r="A6" s="2" t="inlineStr">
        <is>
          <t>TEAM SHAPE - 8 people (right-sized for a solid 12 sprints):</t>
        </is>
      </c>
    </row>
    <row r="7">
      <c r="A7" s="2" t="inlineStr">
        <is>
          <t xml:space="preserve">  - 2 AWS/MLOps engineers split the foundation: AWS (Foundation &amp; Infra) + AWS2 (Platform, Compute &amp;</t>
        </is>
      </c>
    </row>
    <row r="8">
      <c r="A8" s="2" t="inlineStr">
        <is>
          <t xml:space="preserve">    MLOps). The total AWS workload is only ~62 effort-days, so 2 carry it at a healthy ~75% peak;</t>
        </is>
      </c>
    </row>
    <row r="9">
      <c r="A9" s="2" t="inlineStr">
        <is>
          <t xml:space="preserve">    a 3rd was dropped as under-utilized (it sat idle most of S8-S12).</t>
        </is>
      </c>
    </row>
    <row r="10">
      <c r="A10" s="2" t="inlineStr">
        <is>
          <t xml:space="preserve">  - 3 SAS developers: two from S1 run Group 1 models 1 &amp; 2 IN PARALLEL (kills bus-factor-of-one on</t>
        </is>
      </c>
    </row>
    <row r="11">
      <c r="A11" s="2" t="inlineStr">
        <is>
          <t xml:space="preserve">    the proof); a third onboards S8 for Group 2.</t>
        </is>
      </c>
    </row>
    <row r="12">
      <c r="A12" s="2" t="inlineStr">
        <is>
          <t xml:space="preserve">  Group 2 (8 models) is compressed into S9-S11 (3 models/sprint, then 2) so ALL 10 are live by end S11,</t>
        </is>
      </c>
    </row>
    <row r="13">
      <c r="A13" s="2" t="inlineStr">
        <is>
          <t xml:space="preserve">  leaving S12 entirely for hardening, sign-off, and handover - not a race to finish models.</t>
        </is>
      </c>
    </row>
    <row r="14">
      <c r="A14" s="2" t="inlineStr">
        <is>
          <t xml:space="preserve">  The S5 capacity review (T-1301) confirms the 3rd SAS dev + plans AWS ramp-down after foundation.</t>
        </is>
      </c>
    </row>
    <row r="15">
      <c r="A15" s="2" t="inlineStr"/>
    </row>
    <row r="16">
      <c r="A16" s="3" t="inlineStr">
        <is>
          <t>Team &amp; capacity (effort-days per 2-week sprint = 10 working days x 0.8 focus factor):</t>
        </is>
      </c>
    </row>
    <row r="17">
      <c r="A17" s="2" t="inlineStr">
        <is>
          <t xml:space="preserve">  AWS    - AWS/MLOps Eng #1 (Foundation &amp; Infra)        - 8.0 d/sprint</t>
        </is>
      </c>
    </row>
    <row r="18">
      <c r="A18" s="2" t="inlineStr">
        <is>
          <t xml:space="preserve">  AWS2   - AWS/MLOps Eng #2 (Platform, Compute &amp; MLOps) - 8.0 d/sprint</t>
        </is>
      </c>
    </row>
    <row r="19">
      <c r="A19" s="2" t="inlineStr">
        <is>
          <t xml:space="preserve">  DE     - Data Engineer                                - 8.0 d/sprint</t>
        </is>
      </c>
    </row>
    <row r="20">
      <c r="A20" s="2" t="inlineStr">
        <is>
          <t xml:space="preserve">  SAS    - SAS Developer #1 (Model 1 / Group 2)         - 8.0 d/sprint</t>
        </is>
      </c>
    </row>
    <row r="21">
      <c r="A21" s="2" t="inlineStr">
        <is>
          <t xml:space="preserve">  SAS2   - SAS Developer #2 (Model 2 / Group 2)         - 8.0 d/sprint</t>
        </is>
      </c>
    </row>
    <row r="22">
      <c r="A22" s="2" t="inlineStr">
        <is>
          <t xml:space="preserve">  SAS3   - SAS Developer #3 (Group 2)                   - 8.0 d/sprint FROM SPRINT 8 (0 before)</t>
        </is>
      </c>
    </row>
    <row r="23">
      <c r="A23" s="2" t="inlineStr">
        <is>
          <t xml:space="preserve">  DevOps - DevOps Engineer                              - 8.0 d/sprint</t>
        </is>
      </c>
    </row>
    <row r="24">
      <c r="A24" s="2" t="inlineStr">
        <is>
          <t xml:space="preserve">  TL     - Tech Lead (Vishnu)                           - 6.0 d/sprint (splits with program mgmt)</t>
        </is>
      </c>
    </row>
    <row r="25">
      <c r="A25" s="2" t="inlineStr"/>
    </row>
    <row r="26">
      <c r="A26" s="2" t="inlineStr">
        <is>
          <t xml:space="preserve">  COST LEVER: AWS2 is loaded S1-S7 (platform + compute) then light. After S7 it can ramp down or</t>
        </is>
      </c>
    </row>
    <row r="27">
      <c r="A27" s="2" t="inlineStr">
        <is>
          <t xml:space="preserve">  redeploy to MLOps/optimization work - planned at the S5 review (RAID ASM-02). AWS #1 carries the</t>
        </is>
      </c>
    </row>
    <row r="28">
      <c r="A28" s="2" t="inlineStr">
        <is>
          <t xml:space="preserve">  Group 2 pipeline-deploy tail S9-S11.</t>
        </is>
      </c>
    </row>
    <row r="29">
      <c r="A29" s="2" t="inlineStr">
        <is>
          <t xml:space="preserve">  Only DevOps is un-doubled; watch its S2 (7.0) and S6 (6.5) peaks (RAID RISK-07).</t>
        </is>
      </c>
    </row>
    <row r="30">
      <c r="A30" s="2" t="inlineStr"/>
    </row>
    <row r="31">
      <c r="A31" s="3" t="inlineStr">
        <is>
          <t>How to use:</t>
        </is>
      </c>
    </row>
    <row r="32">
      <c r="A32" s="2" t="inlineStr">
        <is>
          <t xml:space="preserve">  1. 'Backlog' is the source of truth: EPIC -&gt; Story -&gt; Task with role, sprint, estimate, points, MoSCoW.</t>
        </is>
      </c>
    </row>
    <row r="33">
      <c r="A33" s="2" t="inlineStr">
        <is>
          <t xml:space="preserve">     Import into Jira (CSV) or mirror manually; Sprint 1-8 base task IDs are stable.</t>
        </is>
      </c>
    </row>
    <row r="34">
      <c r="A34" s="2" t="inlineStr">
        <is>
          <t xml:space="preserve">  2. 'Sprint Plan' = goal + milestone per sprint + per-role load (formula-driven), 9 role columns.</t>
        </is>
      </c>
    </row>
    <row r="35">
      <c r="A35" s="2" t="inlineStr">
        <is>
          <t xml:space="preserve">  3. 'Role Load' = capacity heat grid. Grey = off-team (SAS3 pre-S8). Red = overloaded (must re-plan).</t>
        </is>
      </c>
    </row>
    <row r="36">
      <c r="A36" s="2" t="inlineStr">
        <is>
          <t xml:space="preserve">  4. 'Per-Model Tracker' = the 10 models x onboarding stages; the heart of the program.</t>
        </is>
      </c>
    </row>
    <row r="37">
      <c r="A37" s="2" t="inlineStr">
        <is>
          <t xml:space="preserve">  5. 'Governance &amp; Cadence' = ceremonies + decision/sign-off checkpoints with target sprints.</t>
        </is>
      </c>
    </row>
    <row r="38">
      <c r="A38" s="2" t="inlineStr">
        <is>
          <t xml:space="preserve">  6. 'RAID Log' = risks, assumptions, issues, dependencies (incl. the 8 ABSA dependencies).</t>
        </is>
      </c>
    </row>
    <row r="39">
      <c r="A39" s="2" t="inlineStr">
        <is>
          <t xml:space="preserve">  7. Update Status on Backlog as work moves; Dashboard recalculates.</t>
        </is>
      </c>
    </row>
    <row r="40">
      <c r="A40" s="2" t="inlineStr"/>
    </row>
    <row r="41">
      <c r="A41" s="3" t="inlineStr">
        <is>
          <t>Definition of Ready (a story may enter a sprint when):</t>
        </is>
      </c>
    </row>
    <row r="42">
      <c r="A42" s="2" t="inlineStr">
        <is>
          <t xml:space="preserve">  - Acceptance criteria written; dependencies identified; estimate agreed; no unresolved ABSA blocker for that sprint.</t>
        </is>
      </c>
    </row>
    <row r="43">
      <c r="A43" s="3" t="inlineStr">
        <is>
          <t>Definition of Done (a task is done when):</t>
        </is>
      </c>
    </row>
    <row r="44">
      <c r="A44" s="2" t="inlineStr">
        <is>
          <t xml:space="preserve">  - Merged to main; CI green; docs updated if behaviour changed; acceptance criteria met; demoed on review Friday.</t>
        </is>
      </c>
    </row>
    <row r="45">
      <c r="A45" s="2" t="inlineStr"/>
    </row>
    <row r="46">
      <c r="A46" s="2" t="inlineStr">
        <is>
          <t>Context: the platform (registry, pipeline-factory, signer, code-intake, LocalStack demo) is already built and</t>
        </is>
      </c>
    </row>
    <row r="47">
      <c r="A47" s="2" t="inlineStr">
        <is>
          <t>regression-tested - see docs/phase-3-closeout.md. This plan covers real-AWS deployment, the Jenkins CI</t>
        </is>
      </c>
    </row>
    <row r="48">
      <c r="A48" s="2" t="inlineStr">
        <is>
          <t>migration, onboarding 10 SAS models, security/compliance hardening, testing/UAT, and go-live.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6" customWidth="1" min="4" max="4"/>
    <col width="58" customWidth="1" min="5" max="5"/>
    <col width="8" customWidth="1" min="6" max="6"/>
    <col width="8" customWidth="1" min="7" max="7"/>
    <col width="7" customWidth="1" min="8" max="8"/>
    <col width="5" customWidth="1" min="9" max="9"/>
    <col width="9" customWidth="1" min="10" max="10"/>
    <col width="14" customWidth="1" min="11" max="11"/>
    <col width="18" customWidth="1" min="12" max="12"/>
    <col width="10" customWidth="1" min="13" max="13"/>
    <col width="44" customWidth="1" min="14" max="14"/>
  </cols>
  <sheetData>
    <row r="1">
      <c r="A1" s="1" t="inlineStr">
        <is>
          <t>Backlog - EPIC / Story / Task</t>
        </is>
      </c>
    </row>
    <row r="3">
      <c r="A3" s="4" t="inlineStr">
        <is>
          <t>Type</t>
        </is>
      </c>
      <c r="B3" s="4" t="inlineStr">
        <is>
          <t>ID</t>
        </is>
      </c>
      <c r="C3" s="4" t="inlineStr">
        <is>
          <t>Parent</t>
        </is>
      </c>
      <c r="D3" s="4" t="inlineStr">
        <is>
          <t>Epic</t>
        </is>
      </c>
      <c r="E3" s="4" t="inlineStr">
        <is>
          <t>Title</t>
        </is>
      </c>
      <c r="F3" s="4" t="inlineStr">
        <is>
          <t>Role</t>
        </is>
      </c>
      <c r="G3" s="4" t="inlineStr">
        <is>
          <t>Sprint</t>
        </is>
      </c>
      <c r="H3" s="4" t="inlineStr">
        <is>
          <t>Est (d)</t>
        </is>
      </c>
      <c r="I3" s="4" t="inlineStr">
        <is>
          <t>Pts</t>
        </is>
      </c>
      <c r="J3" s="4" t="inlineStr">
        <is>
          <t>MoSCoW</t>
        </is>
      </c>
      <c r="K3" s="4" t="inlineStr">
        <is>
          <t>Depends On</t>
        </is>
      </c>
      <c r="L3" s="4" t="inlineStr">
        <is>
          <t>Blocked On (ABSA)</t>
        </is>
      </c>
      <c r="M3" s="4" t="inlineStr">
        <is>
          <t>Status</t>
        </is>
      </c>
      <c r="N3" s="4" t="inlineStr">
        <is>
          <t>Acceptance / Notes</t>
        </is>
      </c>
    </row>
    <row r="4">
      <c r="A4" s="5" t="inlineStr">
        <is>
          <t>EPIC</t>
        </is>
      </c>
      <c r="B4" s="5" t="inlineStr">
        <is>
          <t>E01</t>
        </is>
      </c>
      <c r="C4" s="5" t="inlineStr"/>
      <c r="D4" s="5" t="inlineStr">
        <is>
          <t>E01</t>
        </is>
      </c>
      <c r="E4" s="5" t="inlineStr">
        <is>
          <t>Team Onboarding &amp; Governance - Everyone productive in week 1: repo green locally, board live, ABSA dependency register running.</t>
        </is>
      </c>
      <c r="F4" s="5" t="inlineStr">
        <is>
          <t>TL</t>
        </is>
      </c>
      <c r="G4" s="5" t="inlineStr">
        <is>
          <t>S1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</row>
    <row r="5">
      <c r="A5" s="6" t="inlineStr">
        <is>
          <t>Story</t>
        </is>
      </c>
      <c r="B5" s="6" t="inlineStr">
        <is>
          <t>ST-0101</t>
        </is>
      </c>
      <c r="C5" s="6" t="inlineStr">
        <is>
          <t>E01</t>
        </is>
      </c>
      <c r="D5" s="6" t="inlineStr">
        <is>
          <t>E01</t>
        </is>
      </c>
      <c r="E5" s="6" t="inlineStr">
        <is>
          <t>Environment &amp; platform onboarding</t>
        </is>
      </c>
      <c r="F5" s="6" t="inlineStr"/>
      <c r="G5" s="6" t="inlineStr">
        <is>
          <t>S1</t>
        </is>
      </c>
      <c r="H5" s="6" t="n">
        <v>7</v>
      </c>
      <c r="I5" s="6" t="n">
        <v>8</v>
      </c>
      <c r="J5" s="6" t="inlineStr">
        <is>
          <t>Must</t>
        </is>
      </c>
      <c r="K5" s="6" t="inlineStr"/>
      <c r="L5" s="6" t="inlineStr"/>
      <c r="M5" s="6" t="inlineStr"/>
      <c r="N5" s="6" t="inlineStr">
        <is>
          <t>All engineers: 278-test suite green + `make demo` exit 0 locally; walkthrough attended.</t>
        </is>
      </c>
    </row>
    <row r="6">
      <c r="A6" s="7" t="inlineStr">
        <is>
          <t>Task</t>
        </is>
      </c>
      <c r="B6" s="7" t="inlineStr">
        <is>
          <t>T-0101</t>
        </is>
      </c>
      <c r="C6" s="7" t="inlineStr">
        <is>
          <t>ST-0101</t>
        </is>
      </c>
      <c r="D6" s="7" t="inlineStr">
        <is>
          <t>E01</t>
        </is>
      </c>
      <c r="E6" s="7" t="inlineStr">
        <is>
          <t>Clone repo, uv sync, run full 278-test suite locally</t>
        </is>
      </c>
      <c r="F6" s="7" t="inlineStr">
        <is>
          <t>AWS</t>
        </is>
      </c>
      <c r="G6" s="7" t="inlineStr">
        <is>
          <t>S1</t>
        </is>
      </c>
      <c r="H6" s="7" t="n">
        <v>0.5</v>
      </c>
      <c r="I6" s="7" t="inlineStr"/>
      <c r="J6" s="7" t="inlineStr"/>
      <c r="K6" s="7" t="inlineStr"/>
      <c r="L6" s="7" t="inlineStr"/>
      <c r="M6" s="7" t="inlineStr">
        <is>
          <t>Planned</t>
        </is>
      </c>
      <c r="N6" s="7" t="inlineStr"/>
    </row>
    <row r="7">
      <c r="A7" s="7" t="inlineStr">
        <is>
          <t>Task</t>
        </is>
      </c>
      <c r="B7" s="7" t="inlineStr">
        <is>
          <t>T-0102</t>
        </is>
      </c>
      <c r="C7" s="7" t="inlineStr">
        <is>
          <t>ST-0101</t>
        </is>
      </c>
      <c r="D7" s="7" t="inlineStr">
        <is>
          <t>E01</t>
        </is>
      </c>
      <c r="E7" s="7" t="inlineStr">
        <is>
          <t>Clone repo, uv sync, run full 278-test suite locally</t>
        </is>
      </c>
      <c r="F7" s="7" t="inlineStr">
        <is>
          <t>DE</t>
        </is>
      </c>
      <c r="G7" s="7" t="inlineStr">
        <is>
          <t>S1</t>
        </is>
      </c>
      <c r="H7" s="7" t="n">
        <v>0.5</v>
      </c>
      <c r="I7" s="7" t="inlineStr"/>
      <c r="J7" s="7" t="inlineStr"/>
      <c r="K7" s="7" t="inlineStr"/>
      <c r="L7" s="7" t="inlineStr"/>
      <c r="M7" s="7" t="inlineStr">
        <is>
          <t>Planned</t>
        </is>
      </c>
      <c r="N7" s="7" t="inlineStr"/>
    </row>
    <row r="8">
      <c r="A8" s="7" t="inlineStr">
        <is>
          <t>Task</t>
        </is>
      </c>
      <c r="B8" s="7" t="inlineStr">
        <is>
          <t>T-0103</t>
        </is>
      </c>
      <c r="C8" s="7" t="inlineStr">
        <is>
          <t>ST-0101</t>
        </is>
      </c>
      <c r="D8" s="7" t="inlineStr">
        <is>
          <t>E01</t>
        </is>
      </c>
      <c r="E8" s="7" t="inlineStr">
        <is>
          <t>Clone repo, uv sync, run full 278-test suite locally</t>
        </is>
      </c>
      <c r="F8" s="7" t="inlineStr">
        <is>
          <t>SAS</t>
        </is>
      </c>
      <c r="G8" s="7" t="inlineStr">
        <is>
          <t>S1</t>
        </is>
      </c>
      <c r="H8" s="7" t="n">
        <v>0.5</v>
      </c>
      <c r="I8" s="7" t="inlineStr"/>
      <c r="J8" s="7" t="inlineStr"/>
      <c r="K8" s="7" t="inlineStr"/>
      <c r="L8" s="7" t="inlineStr"/>
      <c r="M8" s="7" t="inlineStr">
        <is>
          <t>Planned</t>
        </is>
      </c>
      <c r="N8" s="7" t="inlineStr"/>
    </row>
    <row r="9">
      <c r="A9" s="7" t="inlineStr">
        <is>
          <t>Task</t>
        </is>
      </c>
      <c r="B9" s="7" t="inlineStr">
        <is>
          <t>T-0104</t>
        </is>
      </c>
      <c r="C9" s="7" t="inlineStr">
        <is>
          <t>ST-0101</t>
        </is>
      </c>
      <c r="D9" s="7" t="inlineStr">
        <is>
          <t>E01</t>
        </is>
      </c>
      <c r="E9" s="7" t="inlineStr">
        <is>
          <t>Clone repo, uv sync, run full 278-test suite locally</t>
        </is>
      </c>
      <c r="F9" s="7" t="inlineStr">
        <is>
          <t>DevOps</t>
        </is>
      </c>
      <c r="G9" s="7" t="inlineStr">
        <is>
          <t>S1</t>
        </is>
      </c>
      <c r="H9" s="7" t="n">
        <v>0.5</v>
      </c>
      <c r="I9" s="7" t="inlineStr"/>
      <c r="J9" s="7" t="inlineStr"/>
      <c r="K9" s="7" t="inlineStr"/>
      <c r="L9" s="7" t="inlineStr"/>
      <c r="M9" s="7" t="inlineStr">
        <is>
          <t>Planned</t>
        </is>
      </c>
      <c r="N9" s="7" t="inlineStr"/>
    </row>
    <row r="10">
      <c r="A10" s="7" t="inlineStr">
        <is>
          <t>Task</t>
        </is>
      </c>
      <c r="B10" s="7" t="inlineStr">
        <is>
          <t>T-0105</t>
        </is>
      </c>
      <c r="C10" s="7" t="inlineStr">
        <is>
          <t>ST-0101</t>
        </is>
      </c>
      <c r="D10" s="7" t="inlineStr">
        <is>
          <t>E01</t>
        </is>
      </c>
      <c r="E10" s="7" t="inlineStr">
        <is>
          <t>Run `make demo` (LocalStack chain) green locally</t>
        </is>
      </c>
      <c r="F10" s="7" t="inlineStr">
        <is>
          <t>AWS</t>
        </is>
      </c>
      <c r="G10" s="7" t="inlineStr">
        <is>
          <t>S1</t>
        </is>
      </c>
      <c r="H10" s="7" t="n">
        <v>0.5</v>
      </c>
      <c r="I10" s="7" t="inlineStr"/>
      <c r="J10" s="7" t="inlineStr"/>
      <c r="K10" s="7" t="inlineStr">
        <is>
          <t>T-0101</t>
        </is>
      </c>
      <c r="L10" s="7" t="inlineStr"/>
      <c r="M10" s="7" t="inlineStr">
        <is>
          <t>Planned</t>
        </is>
      </c>
      <c r="N10" s="7" t="inlineStr"/>
    </row>
    <row r="11">
      <c r="A11" s="7" t="inlineStr">
        <is>
          <t>Task</t>
        </is>
      </c>
      <c r="B11" s="7" t="inlineStr">
        <is>
          <t>T-0106</t>
        </is>
      </c>
      <c r="C11" s="7" t="inlineStr">
        <is>
          <t>ST-0101</t>
        </is>
      </c>
      <c r="D11" s="7" t="inlineStr">
        <is>
          <t>E01</t>
        </is>
      </c>
      <c r="E11" s="7" t="inlineStr">
        <is>
          <t>Run `make demo` (LocalStack chain) green locally</t>
        </is>
      </c>
      <c r="F11" s="7" t="inlineStr">
        <is>
          <t>DE</t>
        </is>
      </c>
      <c r="G11" s="7" t="inlineStr">
        <is>
          <t>S1</t>
        </is>
      </c>
      <c r="H11" s="7" t="n">
        <v>0.5</v>
      </c>
      <c r="I11" s="7" t="inlineStr"/>
      <c r="J11" s="7" t="inlineStr"/>
      <c r="K11" s="7" t="inlineStr">
        <is>
          <t>T-0102</t>
        </is>
      </c>
      <c r="L11" s="7" t="inlineStr"/>
      <c r="M11" s="7" t="inlineStr">
        <is>
          <t>Planned</t>
        </is>
      </c>
      <c r="N11" s="7" t="inlineStr"/>
    </row>
    <row r="12">
      <c r="A12" s="7" t="inlineStr">
        <is>
          <t>Task</t>
        </is>
      </c>
      <c r="B12" s="7" t="inlineStr">
        <is>
          <t>T-0107</t>
        </is>
      </c>
      <c r="C12" s="7" t="inlineStr">
        <is>
          <t>ST-0101</t>
        </is>
      </c>
      <c r="D12" s="7" t="inlineStr">
        <is>
          <t>E01</t>
        </is>
      </c>
      <c r="E12" s="7" t="inlineStr">
        <is>
          <t>Run `make demo` (LocalStack chain) green locally</t>
        </is>
      </c>
      <c r="F12" s="7" t="inlineStr">
        <is>
          <t>SAS</t>
        </is>
      </c>
      <c r="G12" s="7" t="inlineStr">
        <is>
          <t>S1</t>
        </is>
      </c>
      <c r="H12" s="7" t="n">
        <v>0.5</v>
      </c>
      <c r="I12" s="7" t="inlineStr"/>
      <c r="J12" s="7" t="inlineStr"/>
      <c r="K12" s="7" t="inlineStr">
        <is>
          <t>T-0103</t>
        </is>
      </c>
      <c r="L12" s="7" t="inlineStr"/>
      <c r="M12" s="7" t="inlineStr">
        <is>
          <t>Planned</t>
        </is>
      </c>
      <c r="N12" s="7" t="inlineStr"/>
    </row>
    <row r="13">
      <c r="A13" s="7" t="inlineStr">
        <is>
          <t>Task</t>
        </is>
      </c>
      <c r="B13" s="7" t="inlineStr">
        <is>
          <t>T-0108</t>
        </is>
      </c>
      <c r="C13" s="7" t="inlineStr">
        <is>
          <t>ST-0101</t>
        </is>
      </c>
      <c r="D13" s="7" t="inlineStr">
        <is>
          <t>E01</t>
        </is>
      </c>
      <c r="E13" s="7" t="inlineStr">
        <is>
          <t>Run `make demo` (LocalStack chain) green locally</t>
        </is>
      </c>
      <c r="F13" s="7" t="inlineStr">
        <is>
          <t>DevOps</t>
        </is>
      </c>
      <c r="G13" s="7" t="inlineStr">
        <is>
          <t>S1</t>
        </is>
      </c>
      <c r="H13" s="7" t="n">
        <v>0.5</v>
      </c>
      <c r="I13" s="7" t="inlineStr"/>
      <c r="J13" s="7" t="inlineStr"/>
      <c r="K13" s="7" t="inlineStr">
        <is>
          <t>T-0104</t>
        </is>
      </c>
      <c r="L13" s="7" t="inlineStr"/>
      <c r="M13" s="7" t="inlineStr">
        <is>
          <t>Planned</t>
        </is>
      </c>
      <c r="N13" s="7" t="inlineStr"/>
    </row>
    <row r="14">
      <c r="A14" s="7" t="inlineStr">
        <is>
          <t>Task</t>
        </is>
      </c>
      <c r="B14" s="7" t="inlineStr">
        <is>
          <t>T-0101b</t>
        </is>
      </c>
      <c r="C14" s="7" t="inlineStr">
        <is>
          <t>ST-0101</t>
        </is>
      </c>
      <c r="D14" s="7" t="inlineStr">
        <is>
          <t>E01</t>
        </is>
      </c>
      <c r="E14" s="7" t="inlineStr">
        <is>
          <t>Clone repo, uv sync, tests green locally</t>
        </is>
      </c>
      <c r="F14" s="7" t="inlineStr">
        <is>
          <t>AWS2</t>
        </is>
      </c>
      <c r="G14" s="7" t="inlineStr">
        <is>
          <t>S1</t>
        </is>
      </c>
      <c r="H14" s="7" t="n">
        <v>0.5</v>
      </c>
      <c r="I14" s="7" t="inlineStr"/>
      <c r="J14" s="7" t="inlineStr"/>
      <c r="K14" s="7" t="inlineStr"/>
      <c r="L14" s="7" t="inlineStr"/>
      <c r="M14" s="7" t="inlineStr">
        <is>
          <t>Planned</t>
        </is>
      </c>
      <c r="N14" s="7" t="inlineStr"/>
    </row>
    <row r="15">
      <c r="A15" s="7" t="inlineStr">
        <is>
          <t>Task</t>
        </is>
      </c>
      <c r="B15" s="7" t="inlineStr">
        <is>
          <t>T-0103b</t>
        </is>
      </c>
      <c r="C15" s="7" t="inlineStr">
        <is>
          <t>ST-0101</t>
        </is>
      </c>
      <c r="D15" s="7" t="inlineStr">
        <is>
          <t>E01</t>
        </is>
      </c>
      <c r="E15" s="7" t="inlineStr">
        <is>
          <t>Clone repo, uv sync, tests green locally</t>
        </is>
      </c>
      <c r="F15" s="7" t="inlineStr">
        <is>
          <t>SAS2</t>
        </is>
      </c>
      <c r="G15" s="7" t="inlineStr">
        <is>
          <t>S1</t>
        </is>
      </c>
      <c r="H15" s="7" t="n">
        <v>0.5</v>
      </c>
      <c r="I15" s="7" t="inlineStr"/>
      <c r="J15" s="7" t="inlineStr"/>
      <c r="K15" s="7" t="inlineStr"/>
      <c r="L15" s="7" t="inlineStr"/>
      <c r="M15" s="7" t="inlineStr">
        <is>
          <t>Planned</t>
        </is>
      </c>
      <c r="N15" s="7" t="inlineStr"/>
    </row>
    <row r="16">
      <c r="A16" s="7" t="inlineStr">
        <is>
          <t>Task</t>
        </is>
      </c>
      <c r="B16" s="7" t="inlineStr">
        <is>
          <t>T-0105b</t>
        </is>
      </c>
      <c r="C16" s="7" t="inlineStr">
        <is>
          <t>ST-0101</t>
        </is>
      </c>
      <c r="D16" s="7" t="inlineStr">
        <is>
          <t>E01</t>
        </is>
      </c>
      <c r="E16" s="7" t="inlineStr">
        <is>
          <t>Run `make demo` green locally</t>
        </is>
      </c>
      <c r="F16" s="7" t="inlineStr">
        <is>
          <t>AWS2</t>
        </is>
      </c>
      <c r="G16" s="7" t="inlineStr">
        <is>
          <t>S1</t>
        </is>
      </c>
      <c r="H16" s="7" t="n">
        <v>0.5</v>
      </c>
      <c r="I16" s="7" t="inlineStr"/>
      <c r="J16" s="7" t="inlineStr"/>
      <c r="K16" s="7" t="inlineStr">
        <is>
          <t>T-0101b</t>
        </is>
      </c>
      <c r="L16" s="7" t="inlineStr"/>
      <c r="M16" s="7" t="inlineStr">
        <is>
          <t>Planned</t>
        </is>
      </c>
      <c r="N16" s="7" t="inlineStr"/>
    </row>
    <row r="17">
      <c r="A17" s="7" t="inlineStr">
        <is>
          <t>Task</t>
        </is>
      </c>
      <c r="B17" s="7" t="inlineStr">
        <is>
          <t>T-0107b</t>
        </is>
      </c>
      <c r="C17" s="7" t="inlineStr">
        <is>
          <t>ST-0101</t>
        </is>
      </c>
      <c r="D17" s="7" t="inlineStr">
        <is>
          <t>E01</t>
        </is>
      </c>
      <c r="E17" s="7" t="inlineStr">
        <is>
          <t>Run `make demo` green locally</t>
        </is>
      </c>
      <c r="F17" s="7" t="inlineStr">
        <is>
          <t>SAS2</t>
        </is>
      </c>
      <c r="G17" s="7" t="inlineStr">
        <is>
          <t>S1</t>
        </is>
      </c>
      <c r="H17" s="7" t="n">
        <v>0.5</v>
      </c>
      <c r="I17" s="7" t="inlineStr"/>
      <c r="J17" s="7" t="inlineStr"/>
      <c r="K17" s="7" t="inlineStr">
        <is>
          <t>T-0103b</t>
        </is>
      </c>
      <c r="L17" s="7" t="inlineStr"/>
      <c r="M17" s="7" t="inlineStr">
        <is>
          <t>Planned</t>
        </is>
      </c>
      <c r="N17" s="7" t="inlineStr"/>
    </row>
    <row r="18">
      <c r="A18" s="7" t="inlineStr">
        <is>
          <t>Task</t>
        </is>
      </c>
      <c r="B18" s="7" t="inlineStr">
        <is>
          <t>T-0109</t>
        </is>
      </c>
      <c r="C18" s="7" t="inlineStr">
        <is>
          <t>ST-0101</t>
        </is>
      </c>
      <c r="D18" s="7" t="inlineStr">
        <is>
          <t>E01</t>
        </is>
      </c>
      <c r="E18" s="7" t="inlineStr">
        <is>
          <t>Host architecture walkthrough: chain-of-custody, repo tour, ADR index</t>
        </is>
      </c>
      <c r="F18" s="7" t="inlineStr">
        <is>
          <t>TL</t>
        </is>
      </c>
      <c r="G18" s="7" t="inlineStr">
        <is>
          <t>S1</t>
        </is>
      </c>
      <c r="H18" s="7" t="n">
        <v>1</v>
      </c>
      <c r="I18" s="7" t="inlineStr"/>
      <c r="J18" s="7" t="inlineStr"/>
      <c r="K18" s="7" t="inlineStr"/>
      <c r="L18" s="7" t="inlineStr"/>
      <c r="M18" s="7" t="inlineStr">
        <is>
          <t>Planned</t>
        </is>
      </c>
      <c r="N18" s="7" t="inlineStr">
        <is>
          <t>Record for future joiners</t>
        </is>
      </c>
    </row>
    <row r="19">
      <c r="A19" s="6" t="inlineStr">
        <is>
          <t>Story</t>
        </is>
      </c>
      <c r="B19" s="6" t="inlineStr">
        <is>
          <t>ST-0102</t>
        </is>
      </c>
      <c r="C19" s="6" t="inlineStr">
        <is>
          <t>E01</t>
        </is>
      </c>
      <c r="D19" s="6" t="inlineStr">
        <is>
          <t>E01</t>
        </is>
      </c>
      <c r="E19" s="6" t="inlineStr">
        <is>
          <t>Agile working agreement &amp; board</t>
        </is>
      </c>
      <c r="F19" s="6" t="inlineStr"/>
      <c r="G19" s="6" t="inlineStr">
        <is>
          <t>S1</t>
        </is>
      </c>
      <c r="H19" s="6" t="n">
        <v>2</v>
      </c>
      <c r="I19" s="6" t="n">
        <v>2</v>
      </c>
      <c r="J19" s="6" t="inlineStr">
        <is>
          <t>Must</t>
        </is>
      </c>
      <c r="K19" s="6" t="inlineStr"/>
      <c r="L19" s="6" t="inlineStr"/>
      <c r="M19" s="6" t="inlineStr"/>
      <c r="N19" s="6" t="inlineStr">
        <is>
          <t>Jira board mirrors this backlog; DoR/DoD + ceremony calendar published.</t>
        </is>
      </c>
    </row>
    <row r="20">
      <c r="A20" s="7" t="inlineStr">
        <is>
          <t>Task</t>
        </is>
      </c>
      <c r="B20" s="7" t="inlineStr">
        <is>
          <t>T-0110</t>
        </is>
      </c>
      <c r="C20" s="7" t="inlineStr">
        <is>
          <t>ST-0102</t>
        </is>
      </c>
      <c r="D20" s="7" t="inlineStr">
        <is>
          <t>E01</t>
        </is>
      </c>
      <c r="E20" s="7" t="inlineStr">
        <is>
          <t>Stand up Jira/ADO board; import this EPIC/Story/Task tree</t>
        </is>
      </c>
      <c r="F20" s="7" t="inlineStr">
        <is>
          <t>TL</t>
        </is>
      </c>
      <c r="G20" s="7" t="inlineStr">
        <is>
          <t>S1</t>
        </is>
      </c>
      <c r="H20" s="7" t="n">
        <v>1</v>
      </c>
      <c r="I20" s="7" t="inlineStr"/>
      <c r="J20" s="7" t="inlineStr"/>
      <c r="K20" s="7" t="inlineStr"/>
      <c r="L20" s="7" t="inlineStr"/>
      <c r="M20" s="7" t="inlineStr">
        <is>
          <t>Planned</t>
        </is>
      </c>
      <c r="N20" s="7" t="inlineStr">
        <is>
          <t>Backlog sheet is the import source</t>
        </is>
      </c>
    </row>
    <row r="21">
      <c r="A21" s="7" t="inlineStr">
        <is>
          <t>Task</t>
        </is>
      </c>
      <c r="B21" s="7" t="inlineStr">
        <is>
          <t>T-0111</t>
        </is>
      </c>
      <c r="C21" s="7" t="inlineStr">
        <is>
          <t>ST-0102</t>
        </is>
      </c>
      <c r="D21" s="7" t="inlineStr">
        <is>
          <t>E01</t>
        </is>
      </c>
      <c r="E21" s="7" t="inlineStr">
        <is>
          <t>Publish Definition of Ready/Done + PR / branch-protection workflow</t>
        </is>
      </c>
      <c r="F21" s="7" t="inlineStr">
        <is>
          <t>TL</t>
        </is>
      </c>
      <c r="G21" s="7" t="inlineStr">
        <is>
          <t>S1</t>
        </is>
      </c>
      <c r="H21" s="7" t="n">
        <v>0.5</v>
      </c>
      <c r="I21" s="7" t="inlineStr"/>
      <c r="J21" s="7" t="inlineStr"/>
      <c r="K21" s="7" t="inlineStr"/>
      <c r="L21" s="7" t="inlineStr"/>
      <c r="M21" s="7" t="inlineStr">
        <is>
          <t>Planned</t>
        </is>
      </c>
      <c r="N21" s="7" t="inlineStr"/>
    </row>
    <row r="22">
      <c r="A22" s="7" t="inlineStr">
        <is>
          <t>Task</t>
        </is>
      </c>
      <c r="B22" s="7" t="inlineStr">
        <is>
          <t>T-0112</t>
        </is>
      </c>
      <c r="C22" s="7" t="inlineStr">
        <is>
          <t>ST-0102</t>
        </is>
      </c>
      <c r="D22" s="7" t="inlineStr">
        <is>
          <t>E01</t>
        </is>
      </c>
      <c r="E22" s="7" t="inlineStr">
        <is>
          <t>Ceremony calendar: standup, planning, review+demo, retro</t>
        </is>
      </c>
      <c r="F22" s="7" t="inlineStr">
        <is>
          <t>TL</t>
        </is>
      </c>
      <c r="G22" s="7" t="inlineStr">
        <is>
          <t>S1</t>
        </is>
      </c>
      <c r="H22" s="7" t="n">
        <v>0.5</v>
      </c>
      <c r="I22" s="7" t="inlineStr"/>
      <c r="J22" s="7" t="inlineStr"/>
      <c r="K22" s="7" t="inlineStr"/>
      <c r="L22" s="7" t="inlineStr"/>
      <c r="M22" s="7" t="inlineStr">
        <is>
          <t>Planned</t>
        </is>
      </c>
      <c r="N22" s="7" t="inlineStr"/>
    </row>
    <row r="23">
      <c r="A23" s="6" t="inlineStr">
        <is>
          <t>Story</t>
        </is>
      </c>
      <c r="B23" s="6" t="inlineStr">
        <is>
          <t>ST-0103</t>
        </is>
      </c>
      <c r="C23" s="6" t="inlineStr">
        <is>
          <t>E01</t>
        </is>
      </c>
      <c r="D23" s="6" t="inlineStr">
        <is>
          <t>E01</t>
        </is>
      </c>
      <c r="E23" s="6" t="inlineStr">
        <is>
          <t>ABSA dependency management</t>
        </is>
      </c>
      <c r="F23" s="6" t="inlineStr"/>
      <c r="G23" s="6" t="inlineStr">
        <is>
          <t>S1</t>
        </is>
      </c>
      <c r="H23" s="6" t="n">
        <v>1</v>
      </c>
      <c r="I23" s="6" t="n">
        <v>1</v>
      </c>
      <c r="J23" s="6" t="inlineStr">
        <is>
          <t>Must</t>
        </is>
      </c>
      <c r="K23" s="6" t="inlineStr"/>
      <c r="L23" s="6" t="inlineStr"/>
      <c r="M23" s="6" t="inlineStr"/>
      <c r="N23" s="6" t="inlineStr">
        <is>
          <t>8-item ask-list sent; weekly chase cadence running with named SPOC.</t>
        </is>
      </c>
    </row>
    <row r="24">
      <c r="A24" s="7" t="inlineStr">
        <is>
          <t>Task</t>
        </is>
      </c>
      <c r="B24" s="7" t="inlineStr">
        <is>
          <t>T-0113</t>
        </is>
      </c>
      <c r="C24" s="7" t="inlineStr">
        <is>
          <t>ST-0103</t>
        </is>
      </c>
      <c r="D24" s="7" t="inlineStr">
        <is>
          <t>E01</t>
        </is>
      </c>
      <c r="E24" s="7" t="inlineStr">
        <is>
          <t>Send 8-item dependency ask-list to ABSA SPOC</t>
        </is>
      </c>
      <c r="F24" s="7" t="inlineStr">
        <is>
          <t>TL</t>
        </is>
      </c>
      <c r="G24" s="7" t="inlineStr">
        <is>
          <t>S1</t>
        </is>
      </c>
      <c r="H24" s="7" t="n">
        <v>0.5</v>
      </c>
      <c r="I24" s="7" t="inlineStr"/>
      <c r="J24" s="7" t="inlineStr"/>
      <c r="K24" s="7" t="inlineStr"/>
      <c r="L24" s="7" t="inlineStr"/>
      <c r="M24" s="7" t="inlineStr">
        <is>
          <t>Planned</t>
        </is>
      </c>
      <c r="N24" s="7" t="inlineStr">
        <is>
          <t>Accounts, IAM, SAS runtime, PIR, data movement, CAB/IVU, network, model docs</t>
        </is>
      </c>
    </row>
    <row r="25">
      <c r="A25" s="7" t="inlineStr">
        <is>
          <t>Task</t>
        </is>
      </c>
      <c r="B25" s="7" t="inlineStr">
        <is>
          <t>T-0114</t>
        </is>
      </c>
      <c r="C25" s="7" t="inlineStr">
        <is>
          <t>ST-0103</t>
        </is>
      </c>
      <c r="D25" s="7" t="inlineStr">
        <is>
          <t>E01</t>
        </is>
      </c>
      <c r="E25" s="7" t="inlineStr">
        <is>
          <t>Stand up weekly dependency-chase cadence + escalation path</t>
        </is>
      </c>
      <c r="F25" s="7" t="inlineStr">
        <is>
          <t>TL</t>
        </is>
      </c>
      <c r="G25" s="7" t="inlineStr">
        <is>
          <t>S1</t>
        </is>
      </c>
      <c r="H25" s="7" t="n">
        <v>0.5</v>
      </c>
      <c r="I25" s="7" t="inlineStr"/>
      <c r="J25" s="7" t="inlineStr"/>
      <c r="K25" s="7" t="inlineStr">
        <is>
          <t>T-0113</t>
        </is>
      </c>
      <c r="L25" s="7" t="inlineStr"/>
      <c r="M25" s="7" t="inlineStr">
        <is>
          <t>Planned</t>
        </is>
      </c>
      <c r="N25" s="7" t="inlineStr"/>
    </row>
    <row r="26">
      <c r="A26" s="5" t="inlineStr">
        <is>
          <t>EPIC</t>
        </is>
      </c>
      <c r="B26" s="5" t="inlineStr">
        <is>
          <t>E02</t>
        </is>
      </c>
      <c r="C26" s="5" t="inlineStr"/>
      <c r="D26" s="5" t="inlineStr">
        <is>
          <t>E02</t>
        </is>
      </c>
      <c r="E26" s="5" t="inlineStr">
        <is>
          <t>CI/CD on Existing Jenkins - Migrate all 6 CI gates from GitHub Actions to the standalone Jenkins per ADR-0011; retire GHA.</t>
        </is>
      </c>
      <c r="F26" s="5" t="inlineStr">
        <is>
          <t>DevOps</t>
        </is>
      </c>
      <c r="G26" s="5" t="inlineStr">
        <is>
          <t>S1-S3</t>
        </is>
      </c>
      <c r="H26" s="5" t="inlineStr"/>
      <c r="I26" s="5" t="inlineStr"/>
      <c r="J26" s="5" t="inlineStr"/>
      <c r="K26" s="5" t="inlineStr"/>
      <c r="L26" s="5" t="inlineStr"/>
      <c r="M26" s="5" t="inlineStr"/>
      <c r="N26" s="5" t="inlineStr"/>
    </row>
    <row r="27">
      <c r="A27" s="6" t="inlineStr">
        <is>
          <t>Story</t>
        </is>
      </c>
      <c r="B27" s="6" t="inlineStr">
        <is>
          <t>ST-0201</t>
        </is>
      </c>
      <c r="C27" s="6" t="inlineStr">
        <is>
          <t>E02</t>
        </is>
      </c>
      <c r="D27" s="6" t="inlineStr">
        <is>
          <t>E02</t>
        </is>
      </c>
      <c r="E27" s="6" t="inlineStr">
        <is>
          <t>Jenkins discovery &amp; identity decision</t>
        </is>
      </c>
      <c r="F27" s="6" t="inlineStr"/>
      <c r="G27" s="6" t="inlineStr">
        <is>
          <t>S1</t>
        </is>
      </c>
      <c r="H27" s="6" t="n">
        <v>2.5</v>
      </c>
      <c r="I27" s="6" t="n">
        <v>3</v>
      </c>
      <c r="J27" s="6" t="inlineStr">
        <is>
          <t>Must</t>
        </is>
      </c>
      <c r="K27" s="6" t="inlineStr"/>
      <c r="L27" s="6" t="inlineStr"/>
      <c r="M27" s="6" t="inlineStr"/>
      <c r="N27" s="6" t="inlineStr">
        <is>
          <t>Topology documented; auth path chosen; ADR-0011 amended.</t>
        </is>
      </c>
    </row>
    <row r="28">
      <c r="A28" s="7" t="inlineStr">
        <is>
          <t>Task</t>
        </is>
      </c>
      <c r="B28" s="7" t="inlineStr">
        <is>
          <t>T-0201</t>
        </is>
      </c>
      <c r="C28" s="7" t="inlineStr">
        <is>
          <t>ST-0201</t>
        </is>
      </c>
      <c r="D28" s="7" t="inlineStr">
        <is>
          <t>E02</t>
        </is>
      </c>
      <c r="E28" s="7" t="inlineStr">
        <is>
          <t>Document Jenkins topology: host, agents, executors, plugins, versions</t>
        </is>
      </c>
      <c r="F28" s="7" t="inlineStr">
        <is>
          <t>DevOps</t>
        </is>
      </c>
      <c r="G28" s="7" t="inlineStr">
        <is>
          <t>S1</t>
        </is>
      </c>
      <c r="H28" s="7" t="n">
        <v>1</v>
      </c>
      <c r="I28" s="7" t="inlineStr"/>
      <c r="J28" s="7" t="inlineStr"/>
      <c r="K28" s="7" t="inlineStr"/>
      <c r="L28" s="7" t="inlineStr"/>
      <c r="M28" s="7" t="inlineStr">
        <is>
          <t>Planned</t>
        </is>
      </c>
      <c r="N28" s="7" t="inlineStr">
        <is>
          <t>Standalone instance already running</t>
        </is>
      </c>
    </row>
    <row r="29">
      <c r="A29" s="7" t="inlineStr">
        <is>
          <t>Task</t>
        </is>
      </c>
      <c r="B29" s="7" t="inlineStr">
        <is>
          <t>T-0202</t>
        </is>
      </c>
      <c r="C29" s="7" t="inlineStr">
        <is>
          <t>ST-0201</t>
        </is>
      </c>
      <c r="D29" s="7" t="inlineStr">
        <is>
          <t>E02</t>
        </is>
      </c>
      <c r="E29" s="7" t="inlineStr">
        <is>
          <t>Choose AWS auth path: instance profile / OIDC IdP plugin / keys+rotation</t>
        </is>
      </c>
      <c r="F29" s="7" t="inlineStr">
        <is>
          <t>DevOps</t>
        </is>
      </c>
      <c r="G29" s="7" t="inlineStr">
        <is>
          <t>S1</t>
        </is>
      </c>
      <c r="H29" s="7" t="n">
        <v>1</v>
      </c>
      <c r="I29" s="7" t="inlineStr"/>
      <c r="J29" s="7" t="inlineStr"/>
      <c r="K29" s="7" t="inlineStr">
        <is>
          <t>T-0201</t>
        </is>
      </c>
      <c r="L29" s="7" t="inlineStr"/>
      <c r="M29" s="7" t="inlineStr">
        <is>
          <t>Planned</t>
        </is>
      </c>
      <c r="N29" s="7" t="inlineStr">
        <is>
          <t>Drives signing-foundation trust policy</t>
        </is>
      </c>
    </row>
    <row r="30">
      <c r="A30" s="7" t="inlineStr">
        <is>
          <t>Task</t>
        </is>
      </c>
      <c r="B30" s="7" t="inlineStr">
        <is>
          <t>T-0203</t>
        </is>
      </c>
      <c r="C30" s="7" t="inlineStr">
        <is>
          <t>ST-0201</t>
        </is>
      </c>
      <c r="D30" s="7" t="inlineStr">
        <is>
          <t>E02</t>
        </is>
      </c>
      <c r="E30" s="7" t="inlineStr">
        <is>
          <t>Amend ADR-0011 with the standalone-Jenkins identity decision</t>
        </is>
      </c>
      <c r="F30" s="7" t="inlineStr">
        <is>
          <t>TL</t>
        </is>
      </c>
      <c r="G30" s="7" t="inlineStr">
        <is>
          <t>S1</t>
        </is>
      </c>
      <c r="H30" s="7" t="n">
        <v>0.5</v>
      </c>
      <c r="I30" s="7" t="inlineStr"/>
      <c r="J30" s="7" t="inlineStr"/>
      <c r="K30" s="7" t="inlineStr">
        <is>
          <t>T-0202</t>
        </is>
      </c>
      <c r="L30" s="7" t="inlineStr"/>
      <c r="M30" s="7" t="inlineStr">
        <is>
          <t>Planned</t>
        </is>
      </c>
      <c r="N30" s="7" t="inlineStr"/>
    </row>
    <row r="31">
      <c r="A31" s="6" t="inlineStr">
        <is>
          <t>Story</t>
        </is>
      </c>
      <c r="B31" s="6" t="inlineStr">
        <is>
          <t>ST-0202</t>
        </is>
      </c>
      <c r="C31" s="6" t="inlineStr">
        <is>
          <t>E02</t>
        </is>
      </c>
      <c r="D31" s="6" t="inlineStr">
        <is>
          <t>E02</t>
        </is>
      </c>
      <c r="E31" s="6" t="inlineStr">
        <is>
          <t>Shared library proving ground</t>
        </is>
      </c>
      <c r="F31" s="6" t="inlineStr"/>
      <c r="G31" s="6" t="inlineStr">
        <is>
          <t>S1-S2</t>
        </is>
      </c>
      <c r="H31" s="6" t="n">
        <v>4.5</v>
      </c>
      <c r="I31" s="6" t="n">
        <v>5</v>
      </c>
      <c r="J31" s="6" t="inlineStr">
        <is>
          <t>Must</t>
        </is>
      </c>
      <c r="K31" s="6" t="inlineStr"/>
      <c r="L31" s="6" t="inlineStr"/>
      <c r="M31" s="6" t="inlineStr"/>
      <c r="N31" s="6" t="inlineStr">
        <is>
          <t>absa-ci registered; ci/python-validate status visible on a GitHub PR.</t>
        </is>
      </c>
    </row>
    <row r="32">
      <c r="A32" s="7" t="inlineStr">
        <is>
          <t>Task</t>
        </is>
      </c>
      <c r="B32" s="7" t="inlineStr">
        <is>
          <t>T-0204</t>
        </is>
      </c>
      <c r="C32" s="7" t="inlineStr">
        <is>
          <t>ST-0202</t>
        </is>
      </c>
      <c r="D32" s="7" t="inlineStr">
        <is>
          <t>E02</t>
        </is>
      </c>
      <c r="E32" s="7" t="inlineStr">
        <is>
          <t>Register absa-ci as Global Pipeline Library</t>
        </is>
      </c>
      <c r="F32" s="7" t="inlineStr">
        <is>
          <t>DevOps</t>
        </is>
      </c>
      <c r="G32" s="7" t="inlineStr">
        <is>
          <t>S1</t>
        </is>
      </c>
      <c r="H32" s="7" t="n">
        <v>0.5</v>
      </c>
      <c r="I32" s="7" t="inlineStr"/>
      <c r="J32" s="7" t="inlineStr"/>
      <c r="K32" s="7" t="inlineStr">
        <is>
          <t>T-0201</t>
        </is>
      </c>
      <c r="L32" s="7" t="inlineStr"/>
      <c r="M32" s="7" t="inlineStr">
        <is>
          <t>Planned</t>
        </is>
      </c>
      <c r="N32" s="7" t="inlineStr">
        <is>
          <t>ci/jenkins/ path in this repo</t>
        </is>
      </c>
    </row>
    <row r="33">
      <c r="A33" s="7" t="inlineStr">
        <is>
          <t>Task</t>
        </is>
      </c>
      <c r="B33" s="7" t="inlineStr">
        <is>
          <t>T-0205</t>
        </is>
      </c>
      <c r="C33" s="7" t="inlineStr">
        <is>
          <t>ST-0202</t>
        </is>
      </c>
      <c r="D33" s="7" t="inlineStr">
        <is>
          <t>E02</t>
        </is>
      </c>
      <c r="E33" s="7" t="inlineStr">
        <is>
          <t>Create multibranch job for python-validate; first run</t>
        </is>
      </c>
      <c r="F33" s="7" t="inlineStr">
        <is>
          <t>DevOps</t>
        </is>
      </c>
      <c r="G33" s="7" t="inlineStr">
        <is>
          <t>S1</t>
        </is>
      </c>
      <c r="H33" s="7" t="n">
        <v>1</v>
      </c>
      <c r="I33" s="7" t="inlineStr"/>
      <c r="J33" s="7" t="inlineStr"/>
      <c r="K33" s="7" t="inlineStr">
        <is>
          <t>T-0204</t>
        </is>
      </c>
      <c r="L33" s="7" t="inlineStr"/>
      <c r="M33" s="7" t="inlineStr">
        <is>
          <t>Planned</t>
        </is>
      </c>
      <c r="N33" s="7" t="inlineStr"/>
    </row>
    <row r="34">
      <c r="A34" s="7" t="inlineStr">
        <is>
          <t>Task</t>
        </is>
      </c>
      <c r="B34" s="7" t="inlineStr">
        <is>
          <t>T-0206</t>
        </is>
      </c>
      <c r="C34" s="7" t="inlineStr">
        <is>
          <t>ST-0202</t>
        </is>
      </c>
      <c r="D34" s="7" t="inlineStr">
        <is>
          <t>E02</t>
        </is>
      </c>
      <c r="E34" s="7" t="inlineStr">
        <is>
          <t>Verify ci/python-validate commit status lands on a GitHub PR</t>
        </is>
      </c>
      <c r="F34" s="7" t="inlineStr">
        <is>
          <t>DevOps</t>
        </is>
      </c>
      <c r="G34" s="7" t="inlineStr">
        <is>
          <t>S1</t>
        </is>
      </c>
      <c r="H34" s="7" t="n">
        <v>1</v>
      </c>
      <c r="I34" s="7" t="inlineStr"/>
      <c r="J34" s="7" t="inlineStr"/>
      <c r="K34" s="7" t="inlineStr">
        <is>
          <t>T-0205</t>
        </is>
      </c>
      <c r="L34" s="7" t="inlineStr"/>
      <c r="M34" s="7" t="inlineStr">
        <is>
          <t>Planned</t>
        </is>
      </c>
      <c r="N34" s="7" t="inlineStr">
        <is>
          <t>Branch-protection sandbox check</t>
        </is>
      </c>
    </row>
    <row r="35">
      <c r="A35" s="7" t="inlineStr">
        <is>
          <t>Task</t>
        </is>
      </c>
      <c r="B35" s="7" t="inlineStr">
        <is>
          <t>T-0207</t>
        </is>
      </c>
      <c r="C35" s="7" t="inlineStr">
        <is>
          <t>ST-0202</t>
        </is>
      </c>
      <c r="D35" s="7" t="inlineStr">
        <is>
          <t>E02</t>
        </is>
      </c>
      <c r="E35" s="7" t="inlineStr">
        <is>
          <t>Fix shared-library Groovy issues surfaced by first runs</t>
        </is>
      </c>
      <c r="F35" s="7" t="inlineStr">
        <is>
          <t>DevOps</t>
        </is>
      </c>
      <c r="G35" s="7" t="inlineStr">
        <is>
          <t>S2</t>
        </is>
      </c>
      <c r="H35" s="7" t="n">
        <v>2</v>
      </c>
      <c r="I35" s="7" t="inlineStr"/>
      <c r="J35" s="7" t="inlineStr"/>
      <c r="K35" s="7" t="inlineStr">
        <is>
          <t>T-0206</t>
        </is>
      </c>
      <c r="L35" s="7" t="inlineStr"/>
      <c r="M35" s="7" t="inlineStr">
        <is>
          <t>Planned</t>
        </is>
      </c>
      <c r="N35" s="7" t="inlineStr">
        <is>
          <t>publishChecks plugin quirks, PATH handling</t>
        </is>
      </c>
    </row>
    <row r="36">
      <c r="A36" s="6" t="inlineStr">
        <is>
          <t>Story</t>
        </is>
      </c>
      <c r="B36" s="6" t="inlineStr">
        <is>
          <t>ST-0203</t>
        </is>
      </c>
      <c r="C36" s="6" t="inlineStr">
        <is>
          <t>E02</t>
        </is>
      </c>
      <c r="D36" s="6" t="inlineStr">
        <is>
          <t>E02</t>
        </is>
      </c>
      <c r="E36" s="6" t="inlineStr">
        <is>
          <t>No-AWS pipelines live</t>
        </is>
      </c>
      <c r="F36" s="6" t="inlineStr"/>
      <c r="G36" s="6" t="inlineStr">
        <is>
          <t>S2</t>
        </is>
      </c>
      <c r="H36" s="6" t="n">
        <v>5</v>
      </c>
      <c r="I36" s="6" t="n">
        <v>5</v>
      </c>
      <c r="J36" s="6" t="inlineStr">
        <is>
          <t>Must</t>
        </is>
      </c>
      <c r="K36" s="6" t="inlineStr"/>
      <c r="L36" s="6" t="inlineStr"/>
      <c r="M36" s="6" t="inlineStr"/>
      <c r="N36" s="6" t="inlineStr">
        <is>
          <t>code-intake, terraform-validate, localstack-demo jobs green on Jenkins.</t>
        </is>
      </c>
    </row>
    <row r="37">
      <c r="A37" s="7" t="inlineStr">
        <is>
          <t>Task</t>
        </is>
      </c>
      <c r="B37" s="7" t="inlineStr">
        <is>
          <t>T-0208</t>
        </is>
      </c>
      <c r="C37" s="7" t="inlineStr">
        <is>
          <t>ST-0203</t>
        </is>
      </c>
      <c r="D37" s="7" t="inlineStr">
        <is>
          <t>E02</t>
        </is>
      </c>
      <c r="E37" s="7" t="inlineStr">
        <is>
          <t>code-intake job live</t>
        </is>
      </c>
      <c r="F37" s="7" t="inlineStr">
        <is>
          <t>DevOps</t>
        </is>
      </c>
      <c r="G37" s="7" t="inlineStr">
        <is>
          <t>S2</t>
        </is>
      </c>
      <c r="H37" s="7" t="n">
        <v>0.5</v>
      </c>
      <c r="I37" s="7" t="inlineStr"/>
      <c r="J37" s="7" t="inlineStr"/>
      <c r="K37" s="7" t="inlineStr">
        <is>
          <t>T-0207</t>
        </is>
      </c>
      <c r="L37" s="7" t="inlineStr"/>
      <c r="M37" s="7" t="inlineStr">
        <is>
          <t>Planned</t>
        </is>
      </c>
      <c r="N37" s="7" t="inlineStr"/>
    </row>
    <row r="38">
      <c r="A38" s="7" t="inlineStr">
        <is>
          <t>Task</t>
        </is>
      </c>
      <c r="B38" s="7" t="inlineStr">
        <is>
          <t>T-0209</t>
        </is>
      </c>
      <c r="C38" s="7" t="inlineStr">
        <is>
          <t>ST-0203</t>
        </is>
      </c>
      <c r="D38" s="7" t="inlineStr">
        <is>
          <t>E02</t>
        </is>
      </c>
      <c r="E38" s="7" t="inlineStr">
        <is>
          <t>terraform-validate job live (docker tflint/tfsec/checkov/gitleaks)</t>
        </is>
      </c>
      <c r="F38" s="7" t="inlineStr">
        <is>
          <t>DevOps</t>
        </is>
      </c>
      <c r="G38" s="7" t="inlineStr">
        <is>
          <t>S2</t>
        </is>
      </c>
      <c r="H38" s="7" t="n">
        <v>1.5</v>
      </c>
      <c r="I38" s="7" t="inlineStr"/>
      <c r="J38" s="7" t="inlineStr"/>
      <c r="K38" s="7" t="inlineStr">
        <is>
          <t>T-0207</t>
        </is>
      </c>
      <c r="L38" s="7" t="inlineStr"/>
      <c r="M38" s="7" t="inlineStr">
        <is>
          <t>Planned</t>
        </is>
      </c>
      <c r="N38" s="7" t="inlineStr"/>
    </row>
    <row r="39">
      <c r="A39" s="7" t="inlineStr">
        <is>
          <t>Task</t>
        </is>
      </c>
      <c r="B39" s="7" t="inlineStr">
        <is>
          <t>T-0210</t>
        </is>
      </c>
      <c r="C39" s="7" t="inlineStr">
        <is>
          <t>ST-0203</t>
        </is>
      </c>
      <c r="D39" s="7" t="inlineStr">
        <is>
          <t>E02</t>
        </is>
      </c>
      <c r="E39" s="7" t="inlineStr">
        <is>
          <t>localstack-demo job live (Docker on agent, 0/1/2/3 exit-code gate)</t>
        </is>
      </c>
      <c r="F39" s="7" t="inlineStr">
        <is>
          <t>DevOps</t>
        </is>
      </c>
      <c r="G39" s="7" t="inlineStr">
        <is>
          <t>S2</t>
        </is>
      </c>
      <c r="H39" s="7" t="n">
        <v>2</v>
      </c>
      <c r="I39" s="7" t="inlineStr"/>
      <c r="J39" s="7" t="inlineStr"/>
      <c r="K39" s="7" t="inlineStr">
        <is>
          <t>T-0207</t>
        </is>
      </c>
      <c r="L39" s="7" t="inlineStr"/>
      <c r="M39" s="7" t="inlineStr">
        <is>
          <t>Planned</t>
        </is>
      </c>
      <c r="N39" s="7" t="inlineStr">
        <is>
          <t>Needs Docker socket on agent</t>
        </is>
      </c>
    </row>
    <row r="40">
      <c r="A40" s="7" t="inlineStr">
        <is>
          <t>Task</t>
        </is>
      </c>
      <c r="B40" s="7" t="inlineStr">
        <is>
          <t>T-0211</t>
        </is>
      </c>
      <c r="C40" s="7" t="inlineStr">
        <is>
          <t>ST-0203</t>
        </is>
      </c>
      <c r="D40" s="7" t="inlineStr">
        <is>
          <t>E02</t>
        </is>
      </c>
      <c r="E40" s="7" t="inlineStr">
        <is>
          <t>Wire platform secrets into Jenkins credentials store</t>
        </is>
      </c>
      <c r="F40" s="7" t="inlineStr">
        <is>
          <t>DevOps</t>
        </is>
      </c>
      <c r="G40" s="7" t="inlineStr">
        <is>
          <t>S2</t>
        </is>
      </c>
      <c r="H40" s="7" t="n">
        <v>1</v>
      </c>
      <c r="I40" s="7" t="inlineStr"/>
      <c r="J40" s="7" t="inlineStr"/>
      <c r="K40" s="7" t="inlineStr">
        <is>
          <t>T-0202</t>
        </is>
      </c>
      <c r="L40" s="7" t="inlineStr"/>
      <c r="M40" s="7" t="inlineStr">
        <is>
          <t>Planned</t>
        </is>
      </c>
      <c r="N40" s="7" t="inlineStr">
        <is>
          <t>Secrets Manager-backed if reachable</t>
        </is>
      </c>
    </row>
    <row r="41">
      <c r="A41" s="6" t="inlineStr">
        <is>
          <t>Story</t>
        </is>
      </c>
      <c r="B41" s="6" t="inlineStr">
        <is>
          <t>ST-0204</t>
        </is>
      </c>
      <c r="C41" s="6" t="inlineStr">
        <is>
          <t>E02</t>
        </is>
      </c>
      <c r="D41" s="6" t="inlineStr">
        <is>
          <t>E02</t>
        </is>
      </c>
      <c r="E41" s="6" t="inlineStr">
        <is>
          <t>AWS-touching pipelines + cutover</t>
        </is>
      </c>
      <c r="F41" s="6" t="inlineStr"/>
      <c r="G41" s="6" t="inlineStr">
        <is>
          <t>S3</t>
        </is>
      </c>
      <c r="H41" s="6" t="n">
        <v>6.5</v>
      </c>
      <c r="I41" s="6" t="n">
        <v>8</v>
      </c>
      <c r="J41" s="6" t="inlineStr">
        <is>
          <t>Must</t>
        </is>
      </c>
      <c r="K41" s="6" t="inlineStr"/>
      <c r="L41" s="6" t="inlineStr"/>
      <c r="M41" s="6" t="inlineStr"/>
      <c r="N41" s="6" t="inlineStr">
        <is>
          <t>sign/register green vs real AWS; 1-week parallel run byte-identical; branch protection flipped; GHA disabled.</t>
        </is>
      </c>
    </row>
    <row r="42">
      <c r="A42" s="7" t="inlineStr">
        <is>
          <t>Task</t>
        </is>
      </c>
      <c r="B42" s="7" t="inlineStr">
        <is>
          <t>T-0212</t>
        </is>
      </c>
      <c r="C42" s="7" t="inlineStr">
        <is>
          <t>ST-0204</t>
        </is>
      </c>
      <c r="D42" s="7" t="inlineStr">
        <is>
          <t>E02</t>
        </is>
      </c>
      <c r="E42" s="7" t="inlineStr">
        <is>
          <t>pipeline-factory sign+register stages green against real AWS</t>
        </is>
      </c>
      <c r="F42" s="7" t="inlineStr">
        <is>
          <t>DevOps</t>
        </is>
      </c>
      <c r="G42" s="7" t="inlineStr">
        <is>
          <t>S3</t>
        </is>
      </c>
      <c r="H42" s="7" t="n">
        <v>2</v>
      </c>
      <c r="I42" s="7" t="inlineStr"/>
      <c r="J42" s="7" t="inlineStr"/>
      <c r="K42" s="7" t="inlineStr">
        <is>
          <t>T-0309,T-0211</t>
        </is>
      </c>
      <c r="L42" s="7" t="inlineStr"/>
      <c r="M42" s="7" t="inlineStr">
        <is>
          <t>Planned</t>
        </is>
      </c>
      <c r="N42" s="7" t="inlineStr"/>
    </row>
    <row r="43">
      <c r="A43" s="7" t="inlineStr">
        <is>
          <t>Task</t>
        </is>
      </c>
      <c r="B43" s="7" t="inlineStr">
        <is>
          <t>T-0213</t>
        </is>
      </c>
      <c r="C43" s="7" t="inlineStr">
        <is>
          <t>ST-0204</t>
        </is>
      </c>
      <c r="D43" s="7" t="inlineStr">
        <is>
          <t>E02</t>
        </is>
      </c>
      <c r="E43" s="7" t="inlineStr">
        <is>
          <t>publish-signing-key job</t>
        </is>
      </c>
      <c r="F43" s="7" t="inlineStr">
        <is>
          <t>DevOps</t>
        </is>
      </c>
      <c r="G43" s="7" t="inlineStr">
        <is>
          <t>S3</t>
        </is>
      </c>
      <c r="H43" s="7" t="n">
        <v>1</v>
      </c>
      <c r="I43" s="7" t="inlineStr"/>
      <c r="J43" s="7" t="inlineStr"/>
      <c r="K43" s="7" t="inlineStr">
        <is>
          <t>T-0310</t>
        </is>
      </c>
      <c r="L43" s="7" t="inlineStr"/>
      <c r="M43" s="7" t="inlineStr">
        <is>
          <t>Planned</t>
        </is>
      </c>
      <c r="N43" s="7" t="inlineStr"/>
    </row>
    <row r="44">
      <c r="A44" s="7" t="inlineStr">
        <is>
          <t>Task</t>
        </is>
      </c>
      <c r="B44" s="7" t="inlineStr">
        <is>
          <t>T-0214</t>
        </is>
      </c>
      <c r="C44" s="7" t="inlineStr">
        <is>
          <t>ST-0204</t>
        </is>
      </c>
      <c r="D44" s="7" t="inlineStr">
        <is>
          <t>E02</t>
        </is>
      </c>
      <c r="E44" s="7" t="inlineStr">
        <is>
          <t>1-week GHA-vs-Jenkins parallel run; byte-equivalence report</t>
        </is>
      </c>
      <c r="F44" s="7" t="inlineStr">
        <is>
          <t>DevOps</t>
        </is>
      </c>
      <c r="G44" s="7" t="inlineStr">
        <is>
          <t>S3</t>
        </is>
      </c>
      <c r="H44" s="7" t="n">
        <v>2</v>
      </c>
      <c r="I44" s="7" t="inlineStr"/>
      <c r="J44" s="7" t="inlineStr"/>
      <c r="K44" s="7" t="inlineStr">
        <is>
          <t>T-0212</t>
        </is>
      </c>
      <c r="L44" s="7" t="inlineStr"/>
      <c r="M44" s="7" t="inlineStr">
        <is>
          <t>Planned</t>
        </is>
      </c>
      <c r="N44" s="7" t="inlineStr">
        <is>
          <t>Compare manifest digests + signatures</t>
        </is>
      </c>
    </row>
    <row r="45">
      <c r="A45" s="7" t="inlineStr">
        <is>
          <t>Task</t>
        </is>
      </c>
      <c r="B45" s="7" t="inlineStr">
        <is>
          <t>T-0215</t>
        </is>
      </c>
      <c r="C45" s="7" t="inlineStr">
        <is>
          <t>ST-0204</t>
        </is>
      </c>
      <c r="D45" s="7" t="inlineStr">
        <is>
          <t>E02</t>
        </is>
      </c>
      <c r="E45" s="7" t="inlineStr">
        <is>
          <t>Flip branch protection to Jenkins contexts; GHA -&gt; *.disabled.yml</t>
        </is>
      </c>
      <c r="F45" s="7" t="inlineStr">
        <is>
          <t>DevOps</t>
        </is>
      </c>
      <c r="G45" s="7" t="inlineStr">
        <is>
          <t>S3</t>
        </is>
      </c>
      <c r="H45" s="7" t="n">
        <v>0.5</v>
      </c>
      <c r="I45" s="7" t="inlineStr"/>
      <c r="J45" s="7" t="inlineStr"/>
      <c r="K45" s="7" t="inlineStr">
        <is>
          <t>T-0214</t>
        </is>
      </c>
      <c r="L45" s="7" t="inlineStr"/>
      <c r="M45" s="7" t="inlineStr">
        <is>
          <t>Planned</t>
        </is>
      </c>
      <c r="N45" s="7" t="inlineStr"/>
    </row>
    <row r="46">
      <c r="A46" s="7" t="inlineStr">
        <is>
          <t>Task</t>
        </is>
      </c>
      <c r="B46" s="7" t="inlineStr">
        <is>
          <t>T-0216</t>
        </is>
      </c>
      <c r="C46" s="7" t="inlineStr">
        <is>
          <t>ST-0204</t>
        </is>
      </c>
      <c r="D46" s="7" t="inlineStr">
        <is>
          <t>E02</t>
        </is>
      </c>
      <c r="E46" s="7" t="inlineStr">
        <is>
          <t>Docs sweep: ADR-0003/0009 final edits; control-matrix rows -&gt; Live</t>
        </is>
      </c>
      <c r="F46" s="7" t="inlineStr">
        <is>
          <t>TL</t>
        </is>
      </c>
      <c r="G46" s="7" t="inlineStr">
        <is>
          <t>S3</t>
        </is>
      </c>
      <c r="H46" s="7" t="n">
        <v>1</v>
      </c>
      <c r="I46" s="7" t="inlineStr"/>
      <c r="J46" s="7" t="inlineStr"/>
      <c r="K46" s="7" t="inlineStr">
        <is>
          <t>T-0215</t>
        </is>
      </c>
      <c r="L46" s="7" t="inlineStr"/>
      <c r="M46" s="7" t="inlineStr">
        <is>
          <t>Planned</t>
        </is>
      </c>
      <c r="N46" s="7" t="inlineStr"/>
    </row>
    <row r="47">
      <c r="A47" s="5" t="inlineStr">
        <is>
          <t>EPIC</t>
        </is>
      </c>
      <c r="B47" s="5" t="inlineStr">
        <is>
          <t>E03</t>
        </is>
      </c>
      <c r="C47" s="5" t="inlineStr"/>
      <c r="D47" s="5" t="inlineStr">
        <is>
          <t>E03</t>
        </is>
      </c>
      <c r="E47" s="5" t="inlineStr">
        <is>
          <t>AWS Foundation (Real Accounts) - Bootstrap real EXL accounts, landing zone, signing foundation, registry-on-Lambda, replication path. Split across 2 AWS engineers: Foundation &amp; Infra (AWS), Platform/Compute/MLOps (AWS2).</t>
        </is>
      </c>
      <c r="F47" s="5" t="inlineStr">
        <is>
          <t>AWS x2</t>
        </is>
      </c>
      <c r="G47" s="5" t="inlineStr">
        <is>
          <t>S1-S4</t>
        </is>
      </c>
      <c r="H47" s="5" t="inlineStr"/>
      <c r="I47" s="5" t="inlineStr"/>
      <c r="J47" s="5" t="inlineStr"/>
      <c r="K47" s="5" t="inlineStr"/>
      <c r="L47" s="5" t="inlineStr"/>
      <c r="M47" s="5" t="inlineStr"/>
      <c r="N47" s="5" t="inlineStr"/>
    </row>
    <row r="48">
      <c r="A48" s="6" t="inlineStr">
        <is>
          <t>Story</t>
        </is>
      </c>
      <c r="B48" s="6" t="inlineStr">
        <is>
          <t>ST-0301</t>
        </is>
      </c>
      <c r="C48" s="6" t="inlineStr">
        <is>
          <t>E03</t>
        </is>
      </c>
      <c r="D48" s="6" t="inlineStr">
        <is>
          <t>E03</t>
        </is>
      </c>
      <c r="E48" s="6" t="inlineStr">
        <is>
          <t>Account bootstrap &amp; state backends</t>
        </is>
      </c>
      <c r="F48" s="6" t="inlineStr"/>
      <c r="G48" s="6" t="inlineStr">
        <is>
          <t>S1-S2</t>
        </is>
      </c>
      <c r="H48" s="6" t="n">
        <v>7</v>
      </c>
      <c r="I48" s="6" t="n">
        <v>8</v>
      </c>
      <c r="J48" s="6" t="inlineStr">
        <is>
          <t>Must</t>
        </is>
      </c>
      <c r="K48" s="6" t="inlineStr"/>
      <c r="L48" s="6" t="inlineStr"/>
      <c r="M48" s="6" t="inlineStr"/>
      <c r="N48" s="6" t="inlineStr">
        <is>
          <t>CloudTrail/GuardDuty/SecurityHub live in 3 EXL accounts; TF state backends operational.</t>
        </is>
      </c>
    </row>
    <row r="49">
      <c r="A49" s="7" t="inlineStr">
        <is>
          <t>Task</t>
        </is>
      </c>
      <c r="B49" s="7" t="inlineStr">
        <is>
          <t>T-0301</t>
        </is>
      </c>
      <c r="C49" s="7" t="inlineStr">
        <is>
          <t>ST-0301</t>
        </is>
      </c>
      <c r="D49" s="7" t="inlineStr">
        <is>
          <t>E03</t>
        </is>
      </c>
      <c r="E49" s="7" t="inlineStr">
        <is>
          <t>Module/stack review: gap notes vs real-AWS apply</t>
        </is>
      </c>
      <c r="F49" s="7" t="inlineStr">
        <is>
          <t>AWS</t>
        </is>
      </c>
      <c r="G49" s="7" t="inlineStr">
        <is>
          <t>S1</t>
        </is>
      </c>
      <c r="H49" s="7" t="n">
        <v>2</v>
      </c>
      <c r="I49" s="7" t="inlineStr"/>
      <c r="J49" s="7" t="inlineStr"/>
      <c r="K49" s="7" t="inlineStr"/>
      <c r="L49" s="7" t="inlineStr"/>
      <c r="M49" s="7" t="inlineStr">
        <is>
          <t>Planned</t>
        </is>
      </c>
      <c r="N49" s="7" t="inlineStr">
        <is>
          <t>terraform/ + account-bootstrap</t>
        </is>
      </c>
    </row>
    <row r="50">
      <c r="A50" s="7" t="inlineStr">
        <is>
          <t>Task</t>
        </is>
      </c>
      <c r="B50" s="7" t="inlineStr">
        <is>
          <t>T-0302</t>
        </is>
      </c>
      <c r="C50" s="7" t="inlineStr">
        <is>
          <t>ST-0301</t>
        </is>
      </c>
      <c r="D50" s="7" t="inlineStr">
        <is>
          <t>E03</t>
        </is>
      </c>
      <c r="E50" s="7" t="inlineStr">
        <is>
          <t>tfvars templates per env (awaiting account IDs)</t>
        </is>
      </c>
      <c r="F50" s="7" t="inlineStr">
        <is>
          <t>AWS</t>
        </is>
      </c>
      <c r="G50" s="7" t="inlineStr">
        <is>
          <t>S1</t>
        </is>
      </c>
      <c r="H50" s="7" t="n">
        <v>1</v>
      </c>
      <c r="I50" s="7" t="inlineStr"/>
      <c r="J50" s="7" t="inlineStr"/>
      <c r="K50" s="7" t="inlineStr">
        <is>
          <t>T-0301</t>
        </is>
      </c>
      <c r="L50" s="7" t="inlineStr"/>
      <c r="M50" s="7" t="inlineStr">
        <is>
          <t>Planned</t>
        </is>
      </c>
      <c r="N50" s="7" t="inlineStr"/>
    </row>
    <row r="51">
      <c r="A51" s="7" t="inlineStr">
        <is>
          <t>Task</t>
        </is>
      </c>
      <c r="B51" s="7" t="inlineStr">
        <is>
          <t>T-0303</t>
        </is>
      </c>
      <c r="C51" s="7" t="inlineStr">
        <is>
          <t>ST-0301</t>
        </is>
      </c>
      <c r="D51" s="7" t="inlineStr">
        <is>
          <t>E03</t>
        </is>
      </c>
      <c r="E51" s="7" t="inlineStr">
        <is>
          <t>State backend design: S3 + DynamoDB locks per account</t>
        </is>
      </c>
      <c r="F51" s="7" t="inlineStr">
        <is>
          <t>AWS</t>
        </is>
      </c>
      <c r="G51" s="7" t="inlineStr">
        <is>
          <t>S1</t>
        </is>
      </c>
      <c r="H51" s="7" t="n">
        <v>1</v>
      </c>
      <c r="I51" s="7" t="inlineStr"/>
      <c r="J51" s="7" t="inlineStr"/>
      <c r="K51" s="7" t="inlineStr">
        <is>
          <t>T-0301</t>
        </is>
      </c>
      <c r="L51" s="7" t="inlineStr"/>
      <c r="M51" s="7" t="inlineStr">
        <is>
          <t>Planned</t>
        </is>
      </c>
      <c r="N51" s="7" t="inlineStr"/>
    </row>
    <row r="52">
      <c r="A52" s="7" t="inlineStr">
        <is>
          <t>Task</t>
        </is>
      </c>
      <c r="B52" s="7" t="inlineStr">
        <is>
          <t>T-0304</t>
        </is>
      </c>
      <c r="C52" s="7" t="inlineStr">
        <is>
          <t>ST-0301</t>
        </is>
      </c>
      <c r="D52" s="7" t="inlineStr">
        <is>
          <t>E03</t>
        </is>
      </c>
      <c r="E52" s="7" t="inlineStr">
        <is>
          <t>Apply account-bootstrap to exl-dev/stg/prod</t>
        </is>
      </c>
      <c r="F52" s="7" t="inlineStr">
        <is>
          <t>AWS</t>
        </is>
      </c>
      <c r="G52" s="7" t="inlineStr">
        <is>
          <t>S2</t>
        </is>
      </c>
      <c r="H52" s="7" t="n">
        <v>2</v>
      </c>
      <c r="I52" s="7" t="inlineStr"/>
      <c r="J52" s="7" t="inlineStr"/>
      <c r="K52" s="7" t="inlineStr">
        <is>
          <t>T-0302</t>
        </is>
      </c>
      <c r="L52" s="8" t="inlineStr">
        <is>
          <t>ABSA: account IDs</t>
        </is>
      </c>
      <c r="M52" s="7" t="inlineStr">
        <is>
          <t>Planned</t>
        </is>
      </c>
      <c r="N52" s="7" t="inlineStr">
        <is>
          <t>CloudTrail, GuardDuty, SecurityHub, CIS alarms</t>
        </is>
      </c>
    </row>
    <row r="53">
      <c r="A53" s="7" t="inlineStr">
        <is>
          <t>Task</t>
        </is>
      </c>
      <c r="B53" s="7" t="inlineStr">
        <is>
          <t>T-0305</t>
        </is>
      </c>
      <c r="C53" s="7" t="inlineStr">
        <is>
          <t>ST-0301</t>
        </is>
      </c>
      <c r="D53" s="7" t="inlineStr">
        <is>
          <t>E03</t>
        </is>
      </c>
      <c r="E53" s="7" t="inlineStr">
        <is>
          <t>Apply state backends</t>
        </is>
      </c>
      <c r="F53" s="7" t="inlineStr">
        <is>
          <t>AWS</t>
        </is>
      </c>
      <c r="G53" s="7" t="inlineStr">
        <is>
          <t>S2</t>
        </is>
      </c>
      <c r="H53" s="7" t="n">
        <v>1</v>
      </c>
      <c r="I53" s="7" t="inlineStr"/>
      <c r="J53" s="7" t="inlineStr"/>
      <c r="K53" s="7" t="inlineStr">
        <is>
          <t>T-0304</t>
        </is>
      </c>
      <c r="L53" s="7" t="inlineStr"/>
      <c r="M53" s="7" t="inlineStr">
        <is>
          <t>Planned</t>
        </is>
      </c>
      <c r="N53" s="7" t="inlineStr"/>
    </row>
    <row r="54">
      <c r="A54" s="6" t="inlineStr">
        <is>
          <t>Story</t>
        </is>
      </c>
      <c r="B54" s="6" t="inlineStr">
        <is>
          <t>ST-0302</t>
        </is>
      </c>
      <c r="C54" s="6" t="inlineStr">
        <is>
          <t>E03</t>
        </is>
      </c>
      <c r="D54" s="6" t="inlineStr">
        <is>
          <t>E03</t>
        </is>
      </c>
      <c r="E54" s="6" t="inlineStr">
        <is>
          <t>Landing zone &amp; connectivity</t>
        </is>
      </c>
      <c r="F54" s="6" t="inlineStr"/>
      <c r="G54" s="6" t="inlineStr">
        <is>
          <t>S2-S3</t>
        </is>
      </c>
      <c r="H54" s="6" t="n">
        <v>6</v>
      </c>
      <c r="I54" s="6" t="n">
        <v>8</v>
      </c>
      <c r="J54" s="6" t="inlineStr">
        <is>
          <t>Must</t>
        </is>
      </c>
      <c r="K54" s="6" t="inlineStr"/>
      <c r="L54" s="6" t="inlineStr"/>
      <c r="M54" s="6" t="inlineStr"/>
      <c r="N54" s="6" t="inlineStr">
        <is>
          <t>Landing zone applied; network path to ABSA implemented; IPs whitelisted.</t>
        </is>
      </c>
    </row>
    <row r="55">
      <c r="A55" s="7" t="inlineStr">
        <is>
          <t>Task</t>
        </is>
      </c>
      <c r="B55" s="7" t="inlineStr">
        <is>
          <t>T-0306</t>
        </is>
      </c>
      <c r="C55" s="7" t="inlineStr">
        <is>
          <t>ST-0302</t>
        </is>
      </c>
      <c r="D55" s="7" t="inlineStr">
        <is>
          <t>E03</t>
        </is>
      </c>
      <c r="E55" s="7" t="inlineStr">
        <is>
          <t>Apply landing-zone module (dev first)</t>
        </is>
      </c>
      <c r="F55" s="7" t="inlineStr">
        <is>
          <t>AWS</t>
        </is>
      </c>
      <c r="G55" s="7" t="inlineStr">
        <is>
          <t>S2</t>
        </is>
      </c>
      <c r="H55" s="7" t="n">
        <v>2</v>
      </c>
      <c r="I55" s="7" t="inlineStr"/>
      <c r="J55" s="7" t="inlineStr"/>
      <c r="K55" s="7" t="inlineStr">
        <is>
          <t>T-0304</t>
        </is>
      </c>
      <c r="L55" s="7" t="inlineStr"/>
      <c r="M55" s="7" t="inlineStr">
        <is>
          <t>Planned</t>
        </is>
      </c>
      <c r="N55" s="7" t="inlineStr"/>
    </row>
    <row r="56">
      <c r="A56" s="7" t="inlineStr">
        <is>
          <t>Task</t>
        </is>
      </c>
      <c r="B56" s="7" t="inlineStr">
        <is>
          <t>T-0307</t>
        </is>
      </c>
      <c r="C56" s="7" t="inlineStr">
        <is>
          <t>ST-0302</t>
        </is>
      </c>
      <c r="D56" s="7" t="inlineStr">
        <is>
          <t>E03</t>
        </is>
      </c>
      <c r="E56" s="7" t="inlineStr">
        <is>
          <t>Implement network connectivity per ABSA decision</t>
        </is>
      </c>
      <c r="F56" s="7" t="inlineStr">
        <is>
          <t>AWS</t>
        </is>
      </c>
      <c r="G56" s="7" t="inlineStr">
        <is>
          <t>S3</t>
        </is>
      </c>
      <c r="H56" s="7" t="n">
        <v>3</v>
      </c>
      <c r="I56" s="7" t="inlineStr"/>
      <c r="J56" s="7" t="inlineStr"/>
      <c r="K56" s="7" t="inlineStr">
        <is>
          <t>T-0306</t>
        </is>
      </c>
      <c r="L56" s="8" t="inlineStr">
        <is>
          <t>ABSA: network choice</t>
        </is>
      </c>
      <c r="M56" s="7" t="inlineStr">
        <is>
          <t>Planned</t>
        </is>
      </c>
      <c r="N56" s="7" t="inlineStr">
        <is>
          <t>VPC peering / TGW / PrivateLink</t>
        </is>
      </c>
    </row>
    <row r="57">
      <c r="A57" s="7" t="inlineStr">
        <is>
          <t>Task</t>
        </is>
      </c>
      <c r="B57" s="7" t="inlineStr">
        <is>
          <t>T-0308</t>
        </is>
      </c>
      <c r="C57" s="7" t="inlineStr">
        <is>
          <t>ST-0302</t>
        </is>
      </c>
      <c r="D57" s="7" t="inlineStr">
        <is>
          <t>E03</t>
        </is>
      </c>
      <c r="E57" s="7" t="inlineStr">
        <is>
          <t>IP whitelisting coordination with ABSA network team</t>
        </is>
      </c>
      <c r="F57" s="7" t="inlineStr">
        <is>
          <t>AWS</t>
        </is>
      </c>
      <c r="G57" s="7" t="inlineStr">
        <is>
          <t>S2</t>
        </is>
      </c>
      <c r="H57" s="7" t="n">
        <v>1</v>
      </c>
      <c r="I57" s="7" t="inlineStr"/>
      <c r="J57" s="7" t="inlineStr"/>
      <c r="K57" s="7" t="inlineStr">
        <is>
          <t>T-0306</t>
        </is>
      </c>
      <c r="L57" s="8" t="inlineStr">
        <is>
          <t>ABSA: network choice</t>
        </is>
      </c>
      <c r="M57" s="7" t="inlineStr">
        <is>
          <t>Planned</t>
        </is>
      </c>
      <c r="N57" s="7" t="inlineStr"/>
    </row>
    <row r="58">
      <c r="A58" s="6" t="inlineStr">
        <is>
          <t>Story</t>
        </is>
      </c>
      <c r="B58" s="6" t="inlineStr">
        <is>
          <t>ST-0303</t>
        </is>
      </c>
      <c r="C58" s="6" t="inlineStr">
        <is>
          <t>E03</t>
        </is>
      </c>
      <c r="D58" s="6" t="inlineStr">
        <is>
          <t>E03</t>
        </is>
      </c>
      <c r="E58" s="6" t="inlineStr">
        <is>
          <t>Signing foundation live</t>
        </is>
      </c>
      <c r="F58" s="6" t="inlineStr"/>
      <c r="G58" s="6" t="inlineStr">
        <is>
          <t>S2-S4</t>
        </is>
      </c>
      <c r="H58" s="6" t="n">
        <v>4.5</v>
      </c>
      <c r="I58" s="6" t="n">
        <v>5</v>
      </c>
      <c r="J58" s="6" t="inlineStr">
        <is>
          <t>Must</t>
        </is>
      </c>
      <c r="K58" s="6" t="inlineStr"/>
      <c r="L58" s="6" t="inlineStr"/>
      <c r="M58" s="6" t="inlineStr"/>
      <c r="N58" s="6" t="inlineStr">
        <is>
          <t>KMS CMK in exl-prod; PEM published; cross-account verify passes with ABSA principal.</t>
        </is>
      </c>
    </row>
    <row r="59">
      <c r="A59" s="7" t="inlineStr">
        <is>
          <t>Task</t>
        </is>
      </c>
      <c r="B59" s="7" t="inlineStr">
        <is>
          <t>T-0309</t>
        </is>
      </c>
      <c r="C59" s="7" t="inlineStr">
        <is>
          <t>ST-0303</t>
        </is>
      </c>
      <c r="D59" s="7" t="inlineStr">
        <is>
          <t>E03</t>
        </is>
      </c>
      <c r="E59" s="7" t="inlineStr">
        <is>
          <t>identity_provider variable in signing-foundation TF (per T-0202)</t>
        </is>
      </c>
      <c r="F59" s="7" t="inlineStr">
        <is>
          <t>AWS2</t>
        </is>
      </c>
      <c r="G59" s="7" t="inlineStr">
        <is>
          <t>S2</t>
        </is>
      </c>
      <c r="H59" s="7" t="n">
        <v>2</v>
      </c>
      <c r="I59" s="7" t="inlineStr"/>
      <c r="J59" s="7" t="inlineStr"/>
      <c r="K59" s="7" t="inlineStr">
        <is>
          <t>T-0202</t>
        </is>
      </c>
      <c r="L59" s="7" t="inlineStr"/>
      <c r="M59" s="7" t="inlineStr">
        <is>
          <t>Planned</t>
        </is>
      </c>
      <c r="N59" s="7" t="inlineStr">
        <is>
          <t>Supports github_actions | jenkins variants during cutover</t>
        </is>
      </c>
    </row>
    <row r="60">
      <c r="A60" s="7" t="inlineStr">
        <is>
          <t>Task</t>
        </is>
      </c>
      <c r="B60" s="7" t="inlineStr">
        <is>
          <t>T-0310</t>
        </is>
      </c>
      <c r="C60" s="7" t="inlineStr">
        <is>
          <t>ST-0303</t>
        </is>
      </c>
      <c r="D60" s="7" t="inlineStr">
        <is>
          <t>E03</t>
        </is>
      </c>
      <c r="E60" s="7" t="inlineStr">
        <is>
          <t>Apply signing stack to exl-prod; CMK + buckets + roles live</t>
        </is>
      </c>
      <c r="F60" s="7" t="inlineStr">
        <is>
          <t>AWS2</t>
        </is>
      </c>
      <c r="G60" s="7" t="inlineStr">
        <is>
          <t>S3</t>
        </is>
      </c>
      <c r="H60" s="7" t="n">
        <v>1</v>
      </c>
      <c r="I60" s="7" t="inlineStr"/>
      <c r="J60" s="7" t="inlineStr"/>
      <c r="K60" s="7" t="inlineStr">
        <is>
          <t>T-0309,T-0304</t>
        </is>
      </c>
      <c r="L60" s="7" t="inlineStr"/>
      <c r="M60" s="7" t="inlineStr">
        <is>
          <t>Planned</t>
        </is>
      </c>
      <c r="N60" s="7" t="inlineStr"/>
    </row>
    <row r="61">
      <c r="A61" s="7" t="inlineStr">
        <is>
          <t>Task</t>
        </is>
      </c>
      <c r="B61" s="7" t="inlineStr">
        <is>
          <t>T-0311</t>
        </is>
      </c>
      <c r="C61" s="7" t="inlineStr">
        <is>
          <t>ST-0303</t>
        </is>
      </c>
      <c r="D61" s="7" t="inlineStr">
        <is>
          <t>E03</t>
        </is>
      </c>
      <c r="E61" s="7" t="inlineStr">
        <is>
          <t>Run publish-key; PEM in public bucket</t>
        </is>
      </c>
      <c r="F61" s="7" t="inlineStr">
        <is>
          <t>AWS2</t>
        </is>
      </c>
      <c r="G61" s="7" t="inlineStr">
        <is>
          <t>S3</t>
        </is>
      </c>
      <c r="H61" s="7" t="n">
        <v>0.5</v>
      </c>
      <c r="I61" s="7" t="inlineStr"/>
      <c r="J61" s="7" t="inlineStr"/>
      <c r="K61" s="7" t="inlineStr">
        <is>
          <t>T-0310</t>
        </is>
      </c>
      <c r="L61" s="7" t="inlineStr"/>
      <c r="M61" s="7" t="inlineStr">
        <is>
          <t>Planned</t>
        </is>
      </c>
      <c r="N61" s="7" t="inlineStr"/>
    </row>
    <row r="62">
      <c r="A62" s="7" t="inlineStr">
        <is>
          <t>Task</t>
        </is>
      </c>
      <c r="B62" s="7" t="inlineStr">
        <is>
          <t>T-0312</t>
        </is>
      </c>
      <c r="C62" s="7" t="inlineStr">
        <is>
          <t>ST-0303</t>
        </is>
      </c>
      <c r="D62" s="7" t="inlineStr">
        <is>
          <t>E03</t>
        </is>
      </c>
      <c r="E62" s="7" t="inlineStr">
        <is>
          <t>Cross-account verify test with real ABSA principal</t>
        </is>
      </c>
      <c r="F62" s="7" t="inlineStr">
        <is>
          <t>AWS2</t>
        </is>
      </c>
      <c r="G62" s="7" t="inlineStr">
        <is>
          <t>S4</t>
        </is>
      </c>
      <c r="H62" s="7" t="n">
        <v>1</v>
      </c>
      <c r="I62" s="7" t="inlineStr"/>
      <c r="J62" s="7" t="inlineStr"/>
      <c r="K62" s="7" t="inlineStr">
        <is>
          <t>T-0311</t>
        </is>
      </c>
      <c r="L62" s="8" t="inlineStr">
        <is>
          <t>ABSA: IAM ARNs</t>
        </is>
      </c>
      <c r="M62" s="7" t="inlineStr">
        <is>
          <t>Planned</t>
        </is>
      </c>
      <c r="N62" s="7" t="inlineStr"/>
    </row>
    <row r="63">
      <c r="A63" s="6" t="inlineStr">
        <is>
          <t>Story</t>
        </is>
      </c>
      <c r="B63" s="6" t="inlineStr">
        <is>
          <t>ST-0304</t>
        </is>
      </c>
      <c r="C63" s="6" t="inlineStr">
        <is>
          <t>E03</t>
        </is>
      </c>
      <c r="D63" s="6" t="inlineStr">
        <is>
          <t>E03</t>
        </is>
      </c>
      <c r="E63" s="6" t="inlineStr">
        <is>
          <t>Registry API on real AWS</t>
        </is>
      </c>
      <c r="F63" s="6" t="inlineStr"/>
      <c r="G63" s="6" t="inlineStr">
        <is>
          <t>S3-S4</t>
        </is>
      </c>
      <c r="H63" s="6" t="n">
        <v>7</v>
      </c>
      <c r="I63" s="6" t="n">
        <v>8</v>
      </c>
      <c r="J63" s="6" t="inlineStr">
        <is>
          <t>Must</t>
        </is>
      </c>
      <c r="K63" s="6" t="inlineStr"/>
      <c r="L63" s="6" t="inlineStr"/>
      <c r="M63" s="6" t="inlineStr"/>
      <c r="N63" s="6" t="inlineStr">
        <is>
          <t>registry-api on Lambda+APIGW dev-&gt;prod; SigV4 register smoke passes.</t>
        </is>
      </c>
    </row>
    <row r="64">
      <c r="A64" s="7" t="inlineStr">
        <is>
          <t>Task</t>
        </is>
      </c>
      <c r="B64" s="7" t="inlineStr">
        <is>
          <t>T-0313</t>
        </is>
      </c>
      <c r="C64" s="7" t="inlineStr">
        <is>
          <t>ST-0304</t>
        </is>
      </c>
      <c r="D64" s="7" t="inlineStr">
        <is>
          <t>E03</t>
        </is>
      </c>
      <c r="E64" s="7" t="inlineStr">
        <is>
          <t>Lambda packaging for registry-api (adapter + artifact build)</t>
        </is>
      </c>
      <c r="F64" s="7" t="inlineStr">
        <is>
          <t>AWS2</t>
        </is>
      </c>
      <c r="G64" s="7" t="inlineStr">
        <is>
          <t>S3</t>
        </is>
      </c>
      <c r="H64" s="7" t="n">
        <v>2</v>
      </c>
      <c r="I64" s="7" t="inlineStr"/>
      <c r="J64" s="7" t="inlineStr"/>
      <c r="K64" s="7" t="inlineStr">
        <is>
          <t>T-0304</t>
        </is>
      </c>
      <c r="L64" s="7" t="inlineStr"/>
      <c r="M64" s="7" t="inlineStr">
        <is>
          <t>Planned</t>
        </is>
      </c>
      <c r="N64" s="7" t="inlineStr">
        <is>
          <t>Largest demo-&gt;prod gap per Phase 3 closeout</t>
        </is>
      </c>
    </row>
    <row r="65">
      <c r="A65" s="7" t="inlineStr">
        <is>
          <t>Task</t>
        </is>
      </c>
      <c r="B65" s="7" t="inlineStr">
        <is>
          <t>T-0314</t>
        </is>
      </c>
      <c r="C65" s="7" t="inlineStr">
        <is>
          <t>ST-0304</t>
        </is>
      </c>
      <c r="D65" s="7" t="inlineStr">
        <is>
          <t>E03</t>
        </is>
      </c>
      <c r="E65" s="7" t="inlineStr">
        <is>
          <t>Finish Lambda packaging + tests</t>
        </is>
      </c>
      <c r="F65" s="7" t="inlineStr">
        <is>
          <t>AWS2</t>
        </is>
      </c>
      <c r="G65" s="7" t="inlineStr">
        <is>
          <t>S4</t>
        </is>
      </c>
      <c r="H65" s="7" t="n">
        <v>1</v>
      </c>
      <c r="I65" s="7" t="inlineStr"/>
      <c r="J65" s="7" t="inlineStr"/>
      <c r="K65" s="7" t="inlineStr">
        <is>
          <t>T-0313</t>
        </is>
      </c>
      <c r="L65" s="7" t="inlineStr"/>
      <c r="M65" s="7" t="inlineStr">
        <is>
          <t>Planned</t>
        </is>
      </c>
      <c r="N65" s="7" t="inlineStr"/>
    </row>
    <row r="66">
      <c r="A66" s="7" t="inlineStr">
        <is>
          <t>Task</t>
        </is>
      </c>
      <c r="B66" s="7" t="inlineStr">
        <is>
          <t>T-0315</t>
        </is>
      </c>
      <c r="C66" s="7" t="inlineStr">
        <is>
          <t>ST-0304</t>
        </is>
      </c>
      <c r="D66" s="7" t="inlineStr">
        <is>
          <t>E03</t>
        </is>
      </c>
      <c r="E66" s="7" t="inlineStr">
        <is>
          <t>Apply APIGW+Lambda+DynamoDB registry stack (dev) + smoke</t>
        </is>
      </c>
      <c r="F66" s="7" t="inlineStr">
        <is>
          <t>AWS2</t>
        </is>
      </c>
      <c r="G66" s="7" t="inlineStr">
        <is>
          <t>S4</t>
        </is>
      </c>
      <c r="H66" s="7" t="n">
        <v>2</v>
      </c>
      <c r="I66" s="7" t="inlineStr"/>
      <c r="J66" s="7" t="inlineStr"/>
      <c r="K66" s="7" t="inlineStr">
        <is>
          <t>T-0314</t>
        </is>
      </c>
      <c r="L66" s="7" t="inlineStr"/>
      <c r="M66" s="7" t="inlineStr">
        <is>
          <t>Planned</t>
        </is>
      </c>
      <c r="N66" s="7" t="inlineStr"/>
    </row>
    <row r="67">
      <c r="A67" s="7" t="inlineStr">
        <is>
          <t>Task</t>
        </is>
      </c>
      <c r="B67" s="7" t="inlineStr">
        <is>
          <t>T-0316</t>
        </is>
      </c>
      <c r="C67" s="7" t="inlineStr">
        <is>
          <t>ST-0304</t>
        </is>
      </c>
      <c r="D67" s="7" t="inlineStr">
        <is>
          <t>E03</t>
        </is>
      </c>
      <c r="E67" s="7" t="inlineStr">
        <is>
          <t>SigV4 register smoke from pipeline-factory</t>
        </is>
      </c>
      <c r="F67" s="7" t="inlineStr">
        <is>
          <t>TL</t>
        </is>
      </c>
      <c r="G67" s="7" t="inlineStr">
        <is>
          <t>S4</t>
        </is>
      </c>
      <c r="H67" s="7" t="n">
        <v>1</v>
      </c>
      <c r="I67" s="7" t="inlineStr"/>
      <c r="J67" s="7" t="inlineStr"/>
      <c r="K67" s="7" t="inlineStr">
        <is>
          <t>T-0315</t>
        </is>
      </c>
      <c r="L67" s="7" t="inlineStr"/>
      <c r="M67" s="7" t="inlineStr">
        <is>
          <t>Planned</t>
        </is>
      </c>
      <c r="N67" s="7" t="inlineStr"/>
    </row>
    <row r="68">
      <c r="A68" s="7" t="inlineStr">
        <is>
          <t>Task</t>
        </is>
      </c>
      <c r="B68" s="7" t="inlineStr">
        <is>
          <t>T-0317</t>
        </is>
      </c>
      <c r="C68" s="7" t="inlineStr">
        <is>
          <t>ST-0304</t>
        </is>
      </c>
      <c r="D68" s="7" t="inlineStr">
        <is>
          <t>E03</t>
        </is>
      </c>
      <c r="E68" s="7" t="inlineStr">
        <is>
          <t>Promote registry to stg + prod</t>
        </is>
      </c>
      <c r="F68" s="7" t="inlineStr">
        <is>
          <t>AWS2</t>
        </is>
      </c>
      <c r="G68" s="7" t="inlineStr">
        <is>
          <t>S4</t>
        </is>
      </c>
      <c r="H68" s="7" t="n">
        <v>1</v>
      </c>
      <c r="I68" s="7" t="inlineStr"/>
      <c r="J68" s="7" t="inlineStr"/>
      <c r="K68" s="7" t="inlineStr">
        <is>
          <t>T-0316</t>
        </is>
      </c>
      <c r="L68" s="7" t="inlineStr"/>
      <c r="M68" s="7" t="inlineStr">
        <is>
          <t>Planned</t>
        </is>
      </c>
      <c r="N68" s="7" t="inlineStr"/>
    </row>
    <row r="69">
      <c r="A69" s="6" t="inlineStr">
        <is>
          <t>Story</t>
        </is>
      </c>
      <c r="B69" s="6" t="inlineStr">
        <is>
          <t>ST-0305</t>
        </is>
      </c>
      <c r="C69" s="6" t="inlineStr">
        <is>
          <t>E03</t>
        </is>
      </c>
      <c r="D69" s="6" t="inlineStr">
        <is>
          <t>E03</t>
        </is>
      </c>
      <c r="E69" s="6" t="inlineStr">
        <is>
          <t>S3 replication path</t>
        </is>
      </c>
      <c r="F69" s="6" t="inlineStr"/>
      <c r="G69" s="6" t="inlineStr">
        <is>
          <t>S4</t>
        </is>
      </c>
      <c r="H69" s="6" t="n">
        <v>2.5</v>
      </c>
      <c r="I69" s="6" t="n">
        <v>3</v>
      </c>
      <c r="J69" s="6" t="inlineStr">
        <is>
          <t>Must</t>
        </is>
      </c>
      <c r="K69" s="6" t="inlineStr"/>
      <c r="L69" s="6" t="inlineStr"/>
      <c r="M69" s="6" t="inlineStr"/>
      <c r="N69" s="6" t="inlineStr">
        <is>
          <t>Replication modules applied; encrypted transfer validated with ABSA test object.</t>
        </is>
      </c>
    </row>
    <row r="70">
      <c r="A70" s="7" t="inlineStr">
        <is>
          <t>Task</t>
        </is>
      </c>
      <c r="B70" s="7" t="inlineStr">
        <is>
          <t>T-0318</t>
        </is>
      </c>
      <c r="C70" s="7" t="inlineStr">
        <is>
          <t>ST-0305</t>
        </is>
      </c>
      <c r="D70" s="7" t="inlineStr">
        <is>
          <t>E03</t>
        </is>
      </c>
      <c r="E70" s="7" t="inlineStr">
        <is>
          <t>Apply s3-replication source + destination modules</t>
        </is>
      </c>
      <c r="F70" s="7" t="inlineStr">
        <is>
          <t>AWS</t>
        </is>
      </c>
      <c r="G70" s="7" t="inlineStr">
        <is>
          <t>S4</t>
        </is>
      </c>
      <c r="H70" s="7" t="n">
        <v>1.5</v>
      </c>
      <c r="I70" s="7" t="inlineStr"/>
      <c r="J70" s="7" t="inlineStr"/>
      <c r="K70" s="7" t="inlineStr">
        <is>
          <t>T-0306</t>
        </is>
      </c>
      <c r="L70" s="8" t="inlineStr">
        <is>
          <t>ABSA: data movement</t>
        </is>
      </c>
      <c r="M70" s="7" t="inlineStr">
        <is>
          <t>Planned</t>
        </is>
      </c>
      <c r="N70" s="7" t="inlineStr"/>
    </row>
    <row r="71">
      <c r="A71" s="7" t="inlineStr">
        <is>
          <t>Task</t>
        </is>
      </c>
      <c r="B71" s="7" t="inlineStr">
        <is>
          <t>T-0319</t>
        </is>
      </c>
      <c r="C71" s="7" t="inlineStr">
        <is>
          <t>ST-0305</t>
        </is>
      </c>
      <c r="D71" s="7" t="inlineStr">
        <is>
          <t>E03</t>
        </is>
      </c>
      <c r="E71" s="7" t="inlineStr">
        <is>
          <t>Encrypted transfer validated end-to-end with ABSA test object</t>
        </is>
      </c>
      <c r="F71" s="7" t="inlineStr">
        <is>
          <t>AWS</t>
        </is>
      </c>
      <c r="G71" s="7" t="inlineStr">
        <is>
          <t>S4</t>
        </is>
      </c>
      <c r="H71" s="7" t="n">
        <v>1</v>
      </c>
      <c r="I71" s="7" t="inlineStr"/>
      <c r="J71" s="7" t="inlineStr"/>
      <c r="K71" s="7" t="inlineStr">
        <is>
          <t>T-0318</t>
        </is>
      </c>
      <c r="L71" s="8" t="inlineStr">
        <is>
          <t>ABSA: data movement</t>
        </is>
      </c>
      <c r="M71" s="7" t="inlineStr">
        <is>
          <t>Planned</t>
        </is>
      </c>
      <c r="N71" s="7" t="inlineStr"/>
    </row>
    <row r="72">
      <c r="A72" s="5" t="inlineStr">
        <is>
          <t>EPIC</t>
        </is>
      </c>
      <c r="B72" s="5" t="inlineStr">
        <is>
          <t>E04</t>
        </is>
      </c>
      <c r="C72" s="5" t="inlineStr"/>
      <c r="D72" s="5" t="inlineStr">
        <is>
          <t>E04</t>
        </is>
      </c>
      <c r="E72" s="5" t="inlineStr">
        <is>
          <t>Data Engineering &amp; Quality - Data contracts, ingestion validation, DQ (volume+drift), reconciliation, lineage, retention, PIR.</t>
        </is>
      </c>
      <c r="F72" s="5" t="inlineStr">
        <is>
          <t>DE</t>
        </is>
      </c>
      <c r="G72" s="5" t="inlineStr">
        <is>
          <t>S1-S7</t>
        </is>
      </c>
      <c r="H72" s="5" t="inlineStr"/>
      <c r="I72" s="5" t="inlineStr"/>
      <c r="J72" s="5" t="inlineStr"/>
      <c r="K72" s="5" t="inlineStr"/>
      <c r="L72" s="5" t="inlineStr"/>
      <c r="M72" s="5" t="inlineStr"/>
      <c r="N72" s="5" t="inlineStr"/>
    </row>
    <row r="73">
      <c r="A73" s="6" t="inlineStr">
        <is>
          <t>Story</t>
        </is>
      </c>
      <c r="B73" s="6" t="inlineStr">
        <is>
          <t>ST-0401</t>
        </is>
      </c>
      <c r="C73" s="6" t="inlineStr">
        <is>
          <t>E04</t>
        </is>
      </c>
      <c r="D73" s="6" t="inlineStr">
        <is>
          <t>E04</t>
        </is>
      </c>
      <c r="E73" s="6" t="inlineStr">
        <is>
          <t>Data contracts per model</t>
        </is>
      </c>
      <c r="F73" s="6" t="inlineStr"/>
      <c r="G73" s="6" t="inlineStr">
        <is>
          <t>S1-S2</t>
        </is>
      </c>
      <c r="H73" s="6" t="n">
        <v>6</v>
      </c>
      <c r="I73" s="6" t="n">
        <v>8</v>
      </c>
      <c r="J73" s="6" t="inlineStr">
        <is>
          <t>Must</t>
        </is>
      </c>
      <c r="K73" s="6" t="inlineStr"/>
      <c r="L73" s="6" t="inlineStr"/>
      <c r="M73" s="6" t="inlineStr"/>
      <c r="N73" s="6" t="inlineStr">
        <is>
          <t>Data dictionary template + input schemas for models 1-2; volume/cadence matrix for all 10.</t>
        </is>
      </c>
    </row>
    <row r="74">
      <c r="A74" s="7" t="inlineStr">
        <is>
          <t>Task</t>
        </is>
      </c>
      <c r="B74" s="7" t="inlineStr">
        <is>
          <t>T-0401</t>
        </is>
      </c>
      <c r="C74" s="7" t="inlineStr">
        <is>
          <t>ST-0401</t>
        </is>
      </c>
      <c r="D74" s="7" t="inlineStr">
        <is>
          <t>E04</t>
        </is>
      </c>
      <c r="E74" s="7" t="inlineStr">
        <is>
          <t>Study platform-contracts schemas + PIR mapping + demo data flow</t>
        </is>
      </c>
      <c r="F74" s="7" t="inlineStr">
        <is>
          <t>DE</t>
        </is>
      </c>
      <c r="G74" s="7" t="inlineStr">
        <is>
          <t>S1</t>
        </is>
      </c>
      <c r="H74" s="7" t="n">
        <v>1</v>
      </c>
      <c r="I74" s="7" t="inlineStr"/>
      <c r="J74" s="7" t="inlineStr"/>
      <c r="K74" s="7" t="inlineStr"/>
      <c r="L74" s="7" t="inlineStr"/>
      <c r="M74" s="7" t="inlineStr">
        <is>
          <t>Planned</t>
        </is>
      </c>
      <c r="N74" s="7" t="inlineStr"/>
    </row>
    <row r="75">
      <c r="A75" s="7" t="inlineStr">
        <is>
          <t>Task</t>
        </is>
      </c>
      <c r="B75" s="7" t="inlineStr">
        <is>
          <t>T-0402</t>
        </is>
      </c>
      <c r="C75" s="7" t="inlineStr">
        <is>
          <t>ST-0401</t>
        </is>
      </c>
      <c r="D75" s="7" t="inlineStr">
        <is>
          <t>E04</t>
        </is>
      </c>
      <c r="E75" s="7" t="inlineStr">
        <is>
          <t>Data dictionary template (input schema, types, nullability, PIR link)</t>
        </is>
      </c>
      <c r="F75" s="7" t="inlineStr">
        <is>
          <t>DE</t>
        </is>
      </c>
      <c r="G75" s="7" t="inlineStr">
        <is>
          <t>S1</t>
        </is>
      </c>
      <c r="H75" s="7" t="n">
        <v>2</v>
      </c>
      <c r="I75" s="7" t="inlineStr"/>
      <c r="J75" s="7" t="inlineStr"/>
      <c r="K75" s="7" t="inlineStr">
        <is>
          <t>T-0401</t>
        </is>
      </c>
      <c r="L75" s="7" t="inlineStr"/>
      <c r="M75" s="7" t="inlineStr">
        <is>
          <t>Planned</t>
        </is>
      </c>
      <c r="N75" s="7" t="inlineStr"/>
    </row>
    <row r="76">
      <c r="A76" s="7" t="inlineStr">
        <is>
          <t>Task</t>
        </is>
      </c>
      <c r="B76" s="7" t="inlineStr">
        <is>
          <t>T-0403</t>
        </is>
      </c>
      <c r="C76" s="7" t="inlineStr">
        <is>
          <t>ST-0401</t>
        </is>
      </c>
      <c r="D76" s="7" t="inlineStr">
        <is>
          <t>E04</t>
        </is>
      </c>
      <c r="E76" s="7" t="inlineStr">
        <is>
          <t>Input schemas for models 1-2</t>
        </is>
      </c>
      <c r="F76" s="7" t="inlineStr">
        <is>
          <t>DE</t>
        </is>
      </c>
      <c r="G76" s="7" t="inlineStr">
        <is>
          <t>S2</t>
        </is>
      </c>
      <c r="H76" s="7" t="n">
        <v>2</v>
      </c>
      <c r="I76" s="7" t="inlineStr"/>
      <c r="J76" s="7" t="inlineStr"/>
      <c r="K76" s="7" t="inlineStr">
        <is>
          <t>T-0402</t>
        </is>
      </c>
      <c r="L76" s="8" t="inlineStr">
        <is>
          <t>ABSA: model docs</t>
        </is>
      </c>
      <c r="M76" s="7" t="inlineStr">
        <is>
          <t>Planned</t>
        </is>
      </c>
      <c r="N76" s="7" t="inlineStr"/>
    </row>
    <row r="77">
      <c r="A77" s="7" t="inlineStr">
        <is>
          <t>Task</t>
        </is>
      </c>
      <c r="B77" s="7" t="inlineStr">
        <is>
          <t>T-0404</t>
        </is>
      </c>
      <c r="C77" s="7" t="inlineStr">
        <is>
          <t>ST-0401</t>
        </is>
      </c>
      <c r="D77" s="7" t="inlineStr">
        <is>
          <t>E04</t>
        </is>
      </c>
      <c r="E77" s="7" t="inlineStr">
        <is>
          <t>Volume/cadence matrix for all 10 models</t>
        </is>
      </c>
      <c r="F77" s="7" t="inlineStr">
        <is>
          <t>DE</t>
        </is>
      </c>
      <c r="G77" s="7" t="inlineStr">
        <is>
          <t>S2</t>
        </is>
      </c>
      <c r="H77" s="7" t="n">
        <v>1</v>
      </c>
      <c r="I77" s="7" t="inlineStr"/>
      <c r="J77" s="7" t="inlineStr"/>
      <c r="K77" s="7" t="inlineStr">
        <is>
          <t>T-0402</t>
        </is>
      </c>
      <c r="L77" s="7" t="inlineStr"/>
      <c r="M77" s="7" t="inlineStr">
        <is>
          <t>Planned</t>
        </is>
      </c>
      <c r="N77" s="7" t="inlineStr">
        <is>
          <t>Daily / weekly / monthly per model</t>
        </is>
      </c>
    </row>
    <row r="78">
      <c r="A78" s="6" t="inlineStr">
        <is>
          <t>Story</t>
        </is>
      </c>
      <c r="B78" s="6" t="inlineStr">
        <is>
          <t>ST-0402</t>
        </is>
      </c>
      <c r="C78" s="6" t="inlineStr">
        <is>
          <t>E04</t>
        </is>
      </c>
      <c r="D78" s="6" t="inlineStr">
        <is>
          <t>E04</t>
        </is>
      </c>
      <c r="E78" s="6" t="inlineStr">
        <is>
          <t>Ingestion &amp; arrival validation</t>
        </is>
      </c>
      <c r="F78" s="6" t="inlineStr"/>
      <c r="G78" s="6" t="inlineStr">
        <is>
          <t>S2-S3</t>
        </is>
      </c>
      <c r="H78" s="6" t="n">
        <v>5</v>
      </c>
      <c r="I78" s="6" t="n">
        <v>5</v>
      </c>
      <c r="J78" s="6" t="inlineStr">
        <is>
          <t>Must</t>
        </is>
      </c>
      <c r="K78" s="6" t="inlineStr"/>
      <c r="L78" s="6" t="inlineStr"/>
      <c r="M78" s="6" t="inlineStr"/>
      <c r="N78" s="6" t="inlineStr">
        <is>
          <t>Bucket layout convention; schema-on-arrival validation; reject/return-to-ABSA workflow.</t>
        </is>
      </c>
    </row>
    <row r="79">
      <c r="A79" s="7" t="inlineStr">
        <is>
          <t>Task</t>
        </is>
      </c>
      <c r="B79" s="7" t="inlineStr">
        <is>
          <t>T-0405</t>
        </is>
      </c>
      <c r="C79" s="7" t="inlineStr">
        <is>
          <t>ST-0402</t>
        </is>
      </c>
      <c r="D79" s="7" t="inlineStr">
        <is>
          <t>E04</t>
        </is>
      </c>
      <c r="E79" s="7" t="inlineStr">
        <is>
          <t>Bucket layout + partitioning convention for scoring inputs</t>
        </is>
      </c>
      <c r="F79" s="7" t="inlineStr">
        <is>
          <t>DE</t>
        </is>
      </c>
      <c r="G79" s="7" t="inlineStr">
        <is>
          <t>S2</t>
        </is>
      </c>
      <c r="H79" s="7" t="n">
        <v>1</v>
      </c>
      <c r="I79" s="7" t="inlineStr"/>
      <c r="J79" s="7" t="inlineStr"/>
      <c r="K79" s="7" t="inlineStr">
        <is>
          <t>T-0402</t>
        </is>
      </c>
      <c r="L79" s="7" t="inlineStr"/>
      <c r="M79" s="7" t="inlineStr">
        <is>
          <t>Planned</t>
        </is>
      </c>
      <c r="N79" s="7" t="inlineStr"/>
    </row>
    <row r="80">
      <c r="A80" s="7" t="inlineStr">
        <is>
          <t>Task</t>
        </is>
      </c>
      <c r="B80" s="7" t="inlineStr">
        <is>
          <t>T-0406</t>
        </is>
      </c>
      <c r="C80" s="7" t="inlineStr">
        <is>
          <t>ST-0402</t>
        </is>
      </c>
      <c r="D80" s="7" t="inlineStr">
        <is>
          <t>E04</t>
        </is>
      </c>
      <c r="E80" s="7" t="inlineStr">
        <is>
          <t>Arrival validation job: schema check on landing</t>
        </is>
      </c>
      <c r="F80" s="7" t="inlineStr">
        <is>
          <t>DE</t>
        </is>
      </c>
      <c r="G80" s="7" t="inlineStr">
        <is>
          <t>S3</t>
        </is>
      </c>
      <c r="H80" s="7" t="n">
        <v>3</v>
      </c>
      <c r="I80" s="7" t="inlineStr"/>
      <c r="J80" s="7" t="inlineStr"/>
      <c r="K80" s="7" t="inlineStr">
        <is>
          <t>T-0405</t>
        </is>
      </c>
      <c r="L80" s="7" t="inlineStr"/>
      <c r="M80" s="7" t="inlineStr">
        <is>
          <t>Planned</t>
        </is>
      </c>
      <c r="N80" s="7" t="inlineStr"/>
    </row>
    <row r="81">
      <c r="A81" s="7" t="inlineStr">
        <is>
          <t>Task</t>
        </is>
      </c>
      <c r="B81" s="7" t="inlineStr">
        <is>
          <t>T-0407</t>
        </is>
      </c>
      <c r="C81" s="7" t="inlineStr">
        <is>
          <t>ST-0402</t>
        </is>
      </c>
      <c r="D81" s="7" t="inlineStr">
        <is>
          <t>E04</t>
        </is>
      </c>
      <c r="E81" s="7" t="inlineStr">
        <is>
          <t>Reject / return-to-ABSA workflow for failed files</t>
        </is>
      </c>
      <c r="F81" s="7" t="inlineStr">
        <is>
          <t>DE</t>
        </is>
      </c>
      <c r="G81" s="7" t="inlineStr">
        <is>
          <t>S3</t>
        </is>
      </c>
      <c r="H81" s="7" t="n">
        <v>1</v>
      </c>
      <c r="I81" s="7" t="inlineStr"/>
      <c r="J81" s="7" t="inlineStr"/>
      <c r="K81" s="7" t="inlineStr">
        <is>
          <t>T-0406</t>
        </is>
      </c>
      <c r="L81" s="7" t="inlineStr"/>
      <c r="M81" s="7" t="inlineStr">
        <is>
          <t>Planned</t>
        </is>
      </c>
      <c r="N81" s="7" t="inlineStr"/>
    </row>
    <row r="82">
      <c r="A82" s="6" t="inlineStr">
        <is>
          <t>Story</t>
        </is>
      </c>
      <c r="B82" s="6" t="inlineStr">
        <is>
          <t>ST-0403</t>
        </is>
      </c>
      <c r="C82" s="6" t="inlineStr">
        <is>
          <t>E04</t>
        </is>
      </c>
      <c r="D82" s="6" t="inlineStr">
        <is>
          <t>E04</t>
        </is>
      </c>
      <c r="E82" s="6" t="inlineStr">
        <is>
          <t>Data quality framework</t>
        </is>
      </c>
      <c r="F82" s="6" t="inlineStr"/>
      <c r="G82" s="6" t="inlineStr">
        <is>
          <t>S4-S5</t>
        </is>
      </c>
      <c r="H82" s="6" t="n">
        <v>6</v>
      </c>
      <c r="I82" s="6" t="n">
        <v>8</v>
      </c>
      <c r="J82" s="6" t="inlineStr">
        <is>
          <t>Must</t>
        </is>
      </c>
      <c r="K82" s="6" t="inlineStr"/>
      <c r="L82" s="6" t="inlineStr"/>
      <c r="M82" s="6" t="inlineStr"/>
      <c r="N82" s="6" t="inlineStr">
        <is>
          <t>Volume band checks + PSI drift design (feeds D01); DQ report artifact per run.</t>
        </is>
      </c>
    </row>
    <row r="83">
      <c r="A83" s="7" t="inlineStr">
        <is>
          <t>Task</t>
        </is>
      </c>
      <c r="B83" s="7" t="inlineStr">
        <is>
          <t>T-0408</t>
        </is>
      </c>
      <c r="C83" s="7" t="inlineStr">
        <is>
          <t>ST-0403</t>
        </is>
      </c>
      <c r="D83" s="7" t="inlineStr">
        <is>
          <t>E04</t>
        </is>
      </c>
      <c r="E83" s="7" t="inlineStr">
        <is>
          <t>Volume checks: row-count expectation bands per model</t>
        </is>
      </c>
      <c r="F83" s="7" t="inlineStr">
        <is>
          <t>DE</t>
        </is>
      </c>
      <c r="G83" s="7" t="inlineStr">
        <is>
          <t>S4</t>
        </is>
      </c>
      <c r="H83" s="7" t="n">
        <v>2</v>
      </c>
      <c r="I83" s="7" t="inlineStr"/>
      <c r="J83" s="7" t="inlineStr"/>
      <c r="K83" s="7" t="inlineStr">
        <is>
          <t>T-0406</t>
        </is>
      </c>
      <c r="L83" s="7" t="inlineStr"/>
      <c r="M83" s="7" t="inlineStr">
        <is>
          <t>Planned</t>
        </is>
      </c>
      <c r="N83" s="7" t="inlineStr"/>
    </row>
    <row r="84">
      <c r="A84" s="7" t="inlineStr">
        <is>
          <t>Task</t>
        </is>
      </c>
      <c r="B84" s="7" t="inlineStr">
        <is>
          <t>T-0409</t>
        </is>
      </c>
      <c r="C84" s="7" t="inlineStr">
        <is>
          <t>ST-0403</t>
        </is>
      </c>
      <c r="D84" s="7" t="inlineStr">
        <is>
          <t>E04</t>
        </is>
      </c>
      <c r="E84" s="7" t="inlineStr">
        <is>
          <t>Drift metric design (PSI per feature) -&gt; D01 proposal to ABSA</t>
        </is>
      </c>
      <c r="F84" s="7" t="inlineStr">
        <is>
          <t>DE</t>
        </is>
      </c>
      <c r="G84" s="7" t="inlineStr">
        <is>
          <t>S4</t>
        </is>
      </c>
      <c r="H84" s="7" t="n">
        <v>2</v>
      </c>
      <c r="I84" s="7" t="inlineStr"/>
      <c r="J84" s="7" t="inlineStr"/>
      <c r="K84" s="7" t="inlineStr">
        <is>
          <t>T-0406</t>
        </is>
      </c>
      <c r="L84" s="7" t="inlineStr"/>
      <c r="M84" s="7" t="inlineStr">
        <is>
          <t>Planned</t>
        </is>
      </c>
      <c r="N84" s="7" t="inlineStr">
        <is>
          <t>Feeds open decision D01</t>
        </is>
      </c>
    </row>
    <row r="85">
      <c r="A85" s="7" t="inlineStr">
        <is>
          <t>Task</t>
        </is>
      </c>
      <c r="B85" s="7" t="inlineStr">
        <is>
          <t>T-0410</t>
        </is>
      </c>
      <c r="C85" s="7" t="inlineStr">
        <is>
          <t>ST-0403</t>
        </is>
      </c>
      <c r="D85" s="7" t="inlineStr">
        <is>
          <t>E04</t>
        </is>
      </c>
      <c r="E85" s="7" t="inlineStr">
        <is>
          <t>DQ report artifact published per scoring run</t>
        </is>
      </c>
      <c r="F85" s="7" t="inlineStr">
        <is>
          <t>DE</t>
        </is>
      </c>
      <c r="G85" s="7" t="inlineStr">
        <is>
          <t>S5</t>
        </is>
      </c>
      <c r="H85" s="7" t="n">
        <v>2</v>
      </c>
      <c r="I85" s="7" t="inlineStr"/>
      <c r="J85" s="7" t="inlineStr"/>
      <c r="K85" s="7" t="inlineStr">
        <is>
          <t>T-0408</t>
        </is>
      </c>
      <c r="L85" s="7" t="inlineStr"/>
      <c r="M85" s="7" t="inlineStr">
        <is>
          <t>Planned</t>
        </is>
      </c>
      <c r="N85" s="7" t="inlineStr"/>
    </row>
    <row r="86">
      <c r="A86" s="6" t="inlineStr">
        <is>
          <t>Story</t>
        </is>
      </c>
      <c r="B86" s="6" t="inlineStr">
        <is>
          <t>ST-0404</t>
        </is>
      </c>
      <c r="C86" s="6" t="inlineStr">
        <is>
          <t>E04</t>
        </is>
      </c>
      <c r="D86" s="6" t="inlineStr">
        <is>
          <t>E04</t>
        </is>
      </c>
      <c r="E86" s="6" t="inlineStr">
        <is>
          <t>PIR integration</t>
        </is>
      </c>
      <c r="F86" s="6" t="inlineStr"/>
      <c r="G86" s="6" t="inlineStr">
        <is>
          <t>S5-S6</t>
        </is>
      </c>
      <c r="H86" s="6" t="n">
        <v>4.5</v>
      </c>
      <c r="I86" s="6" t="n">
        <v>5</v>
      </c>
      <c r="J86" s="6" t="inlineStr">
        <is>
          <t>Must</t>
        </is>
      </c>
      <c r="K86" s="6" t="inlineStr"/>
      <c r="L86" s="6" t="inlineStr"/>
      <c r="M86" s="6" t="inlineStr"/>
      <c r="N86" s="6" t="inlineStr">
        <is>
          <t>pir.yaml synced from ABSA PIR system; coverage report on real model inputs.</t>
        </is>
      </c>
    </row>
    <row r="87">
      <c r="A87" s="7" t="inlineStr">
        <is>
          <t>Task</t>
        </is>
      </c>
      <c r="B87" s="7" t="inlineStr">
        <is>
          <t>T-0411</t>
        </is>
      </c>
      <c r="C87" s="7" t="inlineStr">
        <is>
          <t>ST-0404</t>
        </is>
      </c>
      <c r="D87" s="7" t="inlineStr">
        <is>
          <t>E04</t>
        </is>
      </c>
      <c r="E87" s="7" t="inlineStr">
        <is>
          <t>PIR feed/API contract session with ABSA</t>
        </is>
      </c>
      <c r="F87" s="7" t="inlineStr">
        <is>
          <t>DE</t>
        </is>
      </c>
      <c r="G87" s="7" t="inlineStr">
        <is>
          <t>S5</t>
        </is>
      </c>
      <c r="H87" s="7" t="n">
        <v>0.5</v>
      </c>
      <c r="I87" s="7" t="inlineStr"/>
      <c r="J87" s="7" t="inlineStr"/>
      <c r="K87" s="7" t="inlineStr"/>
      <c r="L87" s="8" t="inlineStr">
        <is>
          <t>ABSA: PIR contract</t>
        </is>
      </c>
      <c r="M87" s="7" t="inlineStr">
        <is>
          <t>Planned</t>
        </is>
      </c>
      <c r="N87" s="7" t="inlineStr"/>
    </row>
    <row r="88">
      <c r="A88" s="7" t="inlineStr">
        <is>
          <t>Task</t>
        </is>
      </c>
      <c r="B88" s="7" t="inlineStr">
        <is>
          <t>T-0412</t>
        </is>
      </c>
      <c r="C88" s="7" t="inlineStr">
        <is>
          <t>ST-0404</t>
        </is>
      </c>
      <c r="D88" s="7" t="inlineStr">
        <is>
          <t>E04</t>
        </is>
      </c>
      <c r="E88" s="7" t="inlineStr">
        <is>
          <t>pir.yaml sync from ABSA PIR system</t>
        </is>
      </c>
      <c r="F88" s="7" t="inlineStr">
        <is>
          <t>DE</t>
        </is>
      </c>
      <c r="G88" s="7" t="inlineStr">
        <is>
          <t>S5</t>
        </is>
      </c>
      <c r="H88" s="7" t="n">
        <v>3</v>
      </c>
      <c r="I88" s="7" t="inlineStr"/>
      <c r="J88" s="7" t="inlineStr"/>
      <c r="K88" s="7" t="inlineStr">
        <is>
          <t>T-0411</t>
        </is>
      </c>
      <c r="L88" s="8" t="inlineStr">
        <is>
          <t>ABSA: PIR contract</t>
        </is>
      </c>
      <c r="M88" s="7" t="inlineStr">
        <is>
          <t>Planned</t>
        </is>
      </c>
      <c r="N88" s="7" t="inlineStr"/>
    </row>
    <row r="89">
      <c r="A89" s="7" t="inlineStr">
        <is>
          <t>Task</t>
        </is>
      </c>
      <c r="B89" s="7" t="inlineStr">
        <is>
          <t>T-0413</t>
        </is>
      </c>
      <c r="C89" s="7" t="inlineStr">
        <is>
          <t>ST-0404</t>
        </is>
      </c>
      <c r="D89" s="7" t="inlineStr">
        <is>
          <t>E04</t>
        </is>
      </c>
      <c r="E89" s="7" t="inlineStr">
        <is>
          <t>PIR coverage report on real model inputs</t>
        </is>
      </c>
      <c r="F89" s="7" t="inlineStr">
        <is>
          <t>DE</t>
        </is>
      </c>
      <c r="G89" s="7" t="inlineStr">
        <is>
          <t>S6</t>
        </is>
      </c>
      <c r="H89" s="7" t="n">
        <v>1</v>
      </c>
      <c r="I89" s="7" t="inlineStr"/>
      <c r="J89" s="7" t="inlineStr"/>
      <c r="K89" s="7" t="inlineStr">
        <is>
          <t>T-0412</t>
        </is>
      </c>
      <c r="L89" s="7" t="inlineStr"/>
      <c r="M89" s="7" t="inlineStr">
        <is>
          <t>Planned</t>
        </is>
      </c>
      <c r="N89" s="7" t="inlineStr"/>
    </row>
    <row r="90">
      <c r="A90" s="6" t="inlineStr">
        <is>
          <t>Story</t>
        </is>
      </c>
      <c r="B90" s="6" t="inlineStr">
        <is>
          <t>ST-0405</t>
        </is>
      </c>
      <c r="C90" s="6" t="inlineStr">
        <is>
          <t>E04</t>
        </is>
      </c>
      <c r="D90" s="6" t="inlineStr">
        <is>
          <t>E04</t>
        </is>
      </c>
      <c r="E90" s="6" t="inlineStr">
        <is>
          <t>Group 1 data operations</t>
        </is>
      </c>
      <c r="F90" s="6" t="inlineStr"/>
      <c r="G90" s="6" t="inlineStr">
        <is>
          <t>S6-S7</t>
        </is>
      </c>
      <c r="H90" s="6" t="n">
        <v>4</v>
      </c>
      <c r="I90" s="6" t="n">
        <v>5</v>
      </c>
      <c r="J90" s="6" t="inlineStr">
        <is>
          <t>Must</t>
        </is>
      </c>
      <c r="K90" s="6" t="inlineStr"/>
      <c r="L90" s="6" t="inlineStr"/>
      <c r="M90" s="6" t="inlineStr"/>
      <c r="N90" s="6" t="inlineStr">
        <is>
          <t>Dress-rehearsal data prepared; DQ tuned on first production runs.</t>
        </is>
      </c>
    </row>
    <row r="91">
      <c r="A91" s="7" t="inlineStr">
        <is>
          <t>Task</t>
        </is>
      </c>
      <c r="B91" s="7" t="inlineStr">
        <is>
          <t>T-0414</t>
        </is>
      </c>
      <c r="C91" s="7" t="inlineStr">
        <is>
          <t>ST-0405</t>
        </is>
      </c>
      <c r="D91" s="7" t="inlineStr">
        <is>
          <t>E04</t>
        </is>
      </c>
      <c r="E91" s="7" t="inlineStr">
        <is>
          <t>Dress-rehearsal data preparation (models 1-2)</t>
        </is>
      </c>
      <c r="F91" s="7" t="inlineStr">
        <is>
          <t>DE</t>
        </is>
      </c>
      <c r="G91" s="7" t="inlineStr">
        <is>
          <t>S6</t>
        </is>
      </c>
      <c r="H91" s="7" t="n">
        <v>2</v>
      </c>
      <c r="I91" s="7" t="inlineStr"/>
      <c r="J91" s="7" t="inlineStr"/>
      <c r="K91" s="7" t="inlineStr">
        <is>
          <t>T-0403</t>
        </is>
      </c>
      <c r="L91" s="7" t="inlineStr"/>
      <c r="M91" s="7" t="inlineStr">
        <is>
          <t>Planned</t>
        </is>
      </c>
      <c r="N91" s="7" t="inlineStr"/>
    </row>
    <row r="92">
      <c r="A92" s="7" t="inlineStr">
        <is>
          <t>Task</t>
        </is>
      </c>
      <c r="B92" s="7" t="inlineStr">
        <is>
          <t>T-0415</t>
        </is>
      </c>
      <c r="C92" s="7" t="inlineStr">
        <is>
          <t>ST-0405</t>
        </is>
      </c>
      <c r="D92" s="7" t="inlineStr">
        <is>
          <t>E04</t>
        </is>
      </c>
      <c r="E92" s="7" t="inlineStr">
        <is>
          <t>DQ on first production runs + threshold tuning</t>
        </is>
      </c>
      <c r="F92" s="7" t="inlineStr">
        <is>
          <t>DE</t>
        </is>
      </c>
      <c r="G92" s="7" t="inlineStr">
        <is>
          <t>S7</t>
        </is>
      </c>
      <c r="H92" s="7" t="n">
        <v>2</v>
      </c>
      <c r="I92" s="7" t="inlineStr"/>
      <c r="J92" s="7" t="inlineStr"/>
      <c r="K92" s="7" t="inlineStr">
        <is>
          <t>T-0410</t>
        </is>
      </c>
      <c r="L92" s="7" t="inlineStr"/>
      <c r="M92" s="7" t="inlineStr">
        <is>
          <t>Planned</t>
        </is>
      </c>
      <c r="N92" s="7" t="inlineStr"/>
    </row>
    <row r="93">
      <c r="A93" s="6" t="inlineStr">
        <is>
          <t>Story</t>
        </is>
      </c>
      <c r="B93" s="6" t="inlineStr">
        <is>
          <t>ST-0406</t>
        </is>
      </c>
      <c r="C93" s="6" t="inlineStr">
        <is>
          <t>E04</t>
        </is>
      </c>
      <c r="D93" s="6" t="inlineStr">
        <is>
          <t>E04</t>
        </is>
      </c>
      <c r="E93" s="6" t="inlineStr">
        <is>
          <t>Reconciliation &amp; lineage</t>
        </is>
      </c>
      <c r="F93" s="6" t="inlineStr"/>
      <c r="G93" s="6" t="inlineStr">
        <is>
          <t>S3-S7</t>
        </is>
      </c>
      <c r="H93" s="6" t="n">
        <v>4</v>
      </c>
      <c r="I93" s="6" t="n">
        <v>5</v>
      </c>
      <c r="J93" s="6" t="inlineStr">
        <is>
          <t>Should</t>
        </is>
      </c>
      <c r="K93" s="6" t="inlineStr"/>
      <c r="L93" s="6" t="inlineStr"/>
      <c r="M93" s="6" t="inlineStr"/>
      <c r="N93" s="6" t="inlineStr">
        <is>
          <t>Source-vs-landing reconciliation; data lineage capture; backfill capability.</t>
        </is>
      </c>
    </row>
    <row r="94">
      <c r="A94" s="7" t="inlineStr">
        <is>
          <t>Task</t>
        </is>
      </c>
      <c r="B94" s="7" t="inlineStr">
        <is>
          <t>T-0416</t>
        </is>
      </c>
      <c r="C94" s="7" t="inlineStr">
        <is>
          <t>ST-0406</t>
        </is>
      </c>
      <c r="D94" s="7" t="inlineStr">
        <is>
          <t>E04</t>
        </is>
      </c>
      <c r="E94" s="7" t="inlineStr">
        <is>
          <t>Source-vs-landing row-count reconciliation check</t>
        </is>
      </c>
      <c r="F94" s="7" t="inlineStr">
        <is>
          <t>DE</t>
        </is>
      </c>
      <c r="G94" s="7" t="inlineStr">
        <is>
          <t>S3</t>
        </is>
      </c>
      <c r="H94" s="7" t="n">
        <v>1</v>
      </c>
      <c r="I94" s="7" t="inlineStr"/>
      <c r="J94" s="7" t="inlineStr"/>
      <c r="K94" s="7" t="inlineStr">
        <is>
          <t>T-0405</t>
        </is>
      </c>
      <c r="L94" s="7" t="inlineStr"/>
      <c r="M94" s="7" t="inlineStr">
        <is>
          <t>Planned</t>
        </is>
      </c>
      <c r="N94" s="7" t="inlineStr"/>
    </row>
    <row r="95">
      <c r="A95" s="7" t="inlineStr">
        <is>
          <t>Task</t>
        </is>
      </c>
      <c r="B95" s="7" t="inlineStr">
        <is>
          <t>T-0417</t>
        </is>
      </c>
      <c r="C95" s="7" t="inlineStr">
        <is>
          <t>ST-0406</t>
        </is>
      </c>
      <c r="D95" s="7" t="inlineStr">
        <is>
          <t>E04</t>
        </is>
      </c>
      <c r="E95" s="7" t="inlineStr">
        <is>
          <t>Data lineage capture (input dataset -&gt; run -&gt; output)</t>
        </is>
      </c>
      <c r="F95" s="7" t="inlineStr">
        <is>
          <t>DE</t>
        </is>
      </c>
      <c r="G95" s="7" t="inlineStr">
        <is>
          <t>S6</t>
        </is>
      </c>
      <c r="H95" s="7" t="n">
        <v>1.5</v>
      </c>
      <c r="I95" s="7" t="inlineStr"/>
      <c r="J95" s="7" t="inlineStr"/>
      <c r="K95" s="7" t="inlineStr">
        <is>
          <t>T-0406</t>
        </is>
      </c>
      <c r="L95" s="7" t="inlineStr"/>
      <c r="M95" s="7" t="inlineStr">
        <is>
          <t>Planned</t>
        </is>
      </c>
      <c r="N95" s="7" t="inlineStr"/>
    </row>
    <row r="96">
      <c r="A96" s="7" t="inlineStr">
        <is>
          <t>Task</t>
        </is>
      </c>
      <c r="B96" s="7" t="inlineStr">
        <is>
          <t>T-0418</t>
        </is>
      </c>
      <c r="C96" s="7" t="inlineStr">
        <is>
          <t>ST-0406</t>
        </is>
      </c>
      <c r="D96" s="7" t="inlineStr">
        <is>
          <t>E04</t>
        </is>
      </c>
      <c r="E96" s="7" t="inlineStr">
        <is>
          <t>Backfill / re-run capability for missed cadence windows</t>
        </is>
      </c>
      <c r="F96" s="7" t="inlineStr">
        <is>
          <t>DE</t>
        </is>
      </c>
      <c r="G96" s="7" t="inlineStr">
        <is>
          <t>S7</t>
        </is>
      </c>
      <c r="H96" s="7" t="n">
        <v>1.5</v>
      </c>
      <c r="I96" s="7" t="inlineStr"/>
      <c r="J96" s="7" t="inlineStr"/>
      <c r="K96" s="7" t="inlineStr">
        <is>
          <t>T-0406</t>
        </is>
      </c>
      <c r="L96" s="7" t="inlineStr"/>
      <c r="M96" s="7" t="inlineStr">
        <is>
          <t>Planned</t>
        </is>
      </c>
      <c r="N96" s="7" t="inlineStr"/>
    </row>
    <row r="97">
      <c r="A97" s="6" t="inlineStr">
        <is>
          <t>Story</t>
        </is>
      </c>
      <c r="B97" s="6" t="inlineStr">
        <is>
          <t>ST-0407</t>
        </is>
      </c>
      <c r="C97" s="6" t="inlineStr">
        <is>
          <t>E04</t>
        </is>
      </c>
      <c r="D97" s="6" t="inlineStr">
        <is>
          <t>E04</t>
        </is>
      </c>
      <c r="E97" s="6" t="inlineStr">
        <is>
          <t>Retention implementation</t>
        </is>
      </c>
      <c r="F97" s="6" t="inlineStr"/>
      <c r="G97" s="6" t="inlineStr">
        <is>
          <t>S7</t>
        </is>
      </c>
      <c r="H97" s="6" t="n">
        <v>1</v>
      </c>
      <c r="I97" s="6" t="n">
        <v>1</v>
      </c>
      <c r="J97" s="6" t="inlineStr">
        <is>
          <t>Should</t>
        </is>
      </c>
      <c r="K97" s="6" t="inlineStr"/>
      <c r="L97" s="6" t="inlineStr"/>
      <c r="M97" s="6" t="inlineStr"/>
      <c r="N97" s="6" t="inlineStr">
        <is>
          <t>S3 retention/archival implemented and verified per model class.</t>
        </is>
      </c>
    </row>
    <row r="98">
      <c r="A98" s="7" t="inlineStr">
        <is>
          <t>Task</t>
        </is>
      </c>
      <c r="B98" s="7" t="inlineStr">
        <is>
          <t>T-0419</t>
        </is>
      </c>
      <c r="C98" s="7" t="inlineStr">
        <is>
          <t>ST-0407</t>
        </is>
      </c>
      <c r="D98" s="7" t="inlineStr">
        <is>
          <t>E04</t>
        </is>
      </c>
      <c r="E98" s="7" t="inlineStr">
        <is>
          <t>Implement + verify S3 retention/archival per model class</t>
        </is>
      </c>
      <c r="F98" s="7" t="inlineStr">
        <is>
          <t>DE</t>
        </is>
      </c>
      <c r="G98" s="7" t="inlineStr">
        <is>
          <t>S7</t>
        </is>
      </c>
      <c r="H98" s="7" t="n">
        <v>1</v>
      </c>
      <c r="I98" s="7" t="inlineStr"/>
      <c r="J98" s="7" t="inlineStr"/>
      <c r="K98" s="7" t="inlineStr">
        <is>
          <t>T-0703pol</t>
        </is>
      </c>
      <c r="L98" s="7" t="inlineStr"/>
      <c r="M98" s="7" t="inlineStr">
        <is>
          <t>Planned</t>
        </is>
      </c>
      <c r="N98" s="7" t="inlineStr">
        <is>
          <t>Pairs with AWS T-0703</t>
        </is>
      </c>
    </row>
    <row r="99">
      <c r="A99" s="5" t="inlineStr">
        <is>
          <t>EPIC</t>
        </is>
      </c>
      <c r="B99" s="5" t="inlineStr">
        <is>
          <t>E05</t>
        </is>
      </c>
      <c r="C99" s="5" t="inlineStr"/>
      <c r="D99" s="5" t="inlineStr">
        <is>
          <t>E05</t>
        </is>
      </c>
      <c r="E99" s="5" t="inlineStr">
        <is>
          <t>SAS Model Engineering - Standards &amp; Tooling - SAS prod-readiness standards, real SAS linting, reconciliation framework.</t>
        </is>
      </c>
      <c r="F99" s="5" t="inlineStr">
        <is>
          <t>SAS</t>
        </is>
      </c>
      <c r="G99" s="5" t="inlineStr">
        <is>
          <t>S1-S3</t>
        </is>
      </c>
      <c r="H99" s="5" t="inlineStr"/>
      <c r="I99" s="5" t="inlineStr"/>
      <c r="J99" s="5" t="inlineStr"/>
      <c r="K99" s="5" t="inlineStr"/>
      <c r="L99" s="5" t="inlineStr"/>
      <c r="M99" s="5" t="inlineStr"/>
      <c r="N99" s="5" t="inlineStr"/>
    </row>
    <row r="100">
      <c r="A100" s="6" t="inlineStr">
        <is>
          <t>Story</t>
        </is>
      </c>
      <c r="B100" s="6" t="inlineStr">
        <is>
          <t>ST-0501</t>
        </is>
      </c>
      <c r="C100" s="6" t="inlineStr">
        <is>
          <t>E05</t>
        </is>
      </c>
      <c r="D100" s="6" t="inlineStr">
        <is>
          <t>E05</t>
        </is>
      </c>
      <c r="E100" s="6" t="inlineStr">
        <is>
          <t>SAS standards &amp; tooling</t>
        </is>
      </c>
      <c r="F100" s="6" t="inlineStr"/>
      <c r="G100" s="6" t="inlineStr">
        <is>
          <t>S1-S3</t>
        </is>
      </c>
      <c r="H100" s="6" t="n">
        <v>9</v>
      </c>
      <c r="I100" s="6" t="n">
        <v>13</v>
      </c>
      <c r="J100" s="6" t="inlineStr">
        <is>
          <t>Must</t>
        </is>
      </c>
      <c r="K100" s="6" t="inlineStr"/>
      <c r="L100" s="6" t="inlineStr"/>
      <c r="M100" s="6" t="inlineStr"/>
      <c r="N100" s="6" t="inlineStr">
        <is>
          <t>Prod-readiness standards published; SAS runtime obtained; static_sas upgraded to real lint.</t>
        </is>
      </c>
    </row>
    <row r="101">
      <c r="A101" s="7" t="inlineStr">
        <is>
          <t>Task</t>
        </is>
      </c>
      <c r="B101" s="7" t="inlineStr">
        <is>
          <t>T-0501</t>
        </is>
      </c>
      <c r="C101" s="7" t="inlineStr">
        <is>
          <t>ST-0501</t>
        </is>
      </c>
      <c r="D101" s="7" t="inlineStr">
        <is>
          <t>E05</t>
        </is>
      </c>
      <c r="E101" s="7" t="inlineStr">
        <is>
          <t>Study credit-risk-pd package + static_sas checker internals</t>
        </is>
      </c>
      <c r="F101" s="7" t="inlineStr">
        <is>
          <t>SAS</t>
        </is>
      </c>
      <c r="G101" s="7" t="inlineStr">
        <is>
          <t>S1</t>
        </is>
      </c>
      <c r="H101" s="7" t="n">
        <v>2</v>
      </c>
      <c r="I101" s="7" t="inlineStr"/>
      <c r="J101" s="7" t="inlineStr"/>
      <c r="K101" s="7" t="inlineStr"/>
      <c r="L101" s="7" t="inlineStr"/>
      <c r="M101" s="7" t="inlineStr">
        <is>
          <t>Planned</t>
        </is>
      </c>
      <c r="N101" s="7" t="inlineStr"/>
    </row>
    <row r="102">
      <c r="A102" s="7" t="inlineStr">
        <is>
          <t>Task</t>
        </is>
      </c>
      <c r="B102" s="7" t="inlineStr">
        <is>
          <t>T-0501b</t>
        </is>
      </c>
      <c r="C102" s="7" t="inlineStr">
        <is>
          <t>ST-0501</t>
        </is>
      </c>
      <c r="D102" s="7" t="inlineStr">
        <is>
          <t>E05</t>
        </is>
      </c>
      <c r="E102" s="7" t="inlineStr">
        <is>
          <t>Study credit-risk-pd package + SAS standards (with SAS #1)</t>
        </is>
      </c>
      <c r="F102" s="7" t="inlineStr">
        <is>
          <t>SAS2</t>
        </is>
      </c>
      <c r="G102" s="7" t="inlineStr">
        <is>
          <t>S1</t>
        </is>
      </c>
      <c r="H102" s="7" t="n">
        <v>1.5</v>
      </c>
      <c r="I102" s="7" t="inlineStr"/>
      <c r="J102" s="7" t="inlineStr"/>
      <c r="K102" s="7" t="inlineStr"/>
      <c r="L102" s="7" t="inlineStr"/>
      <c r="M102" s="7" t="inlineStr">
        <is>
          <t>Planned</t>
        </is>
      </c>
      <c r="N102" s="7" t="inlineStr"/>
    </row>
    <row r="103">
      <c r="A103" s="7" t="inlineStr">
        <is>
          <t>Task</t>
        </is>
      </c>
      <c r="B103" s="7" t="inlineStr">
        <is>
          <t>T-0502</t>
        </is>
      </c>
      <c r="C103" s="7" t="inlineStr">
        <is>
          <t>ST-0501</t>
        </is>
      </c>
      <c r="D103" s="7" t="inlineStr">
        <is>
          <t>E05</t>
        </is>
      </c>
      <c r="E103" s="7" t="inlineStr">
        <is>
          <t>SAS prod-readiness standards doc (naming, macros, errors, logging)</t>
        </is>
      </c>
      <c r="F103" s="7" t="inlineStr">
        <is>
          <t>SAS</t>
        </is>
      </c>
      <c r="G103" s="7" t="inlineStr">
        <is>
          <t>S1</t>
        </is>
      </c>
      <c r="H103" s="7" t="n">
        <v>2</v>
      </c>
      <c r="I103" s="7" t="inlineStr"/>
      <c r="J103" s="7" t="inlineStr"/>
      <c r="K103" s="7" t="inlineStr">
        <is>
          <t>T-0501</t>
        </is>
      </c>
      <c r="L103" s="7" t="inlineStr"/>
      <c r="M103" s="7" t="inlineStr">
        <is>
          <t>Planned</t>
        </is>
      </c>
      <c r="N103" s="7" t="inlineStr"/>
    </row>
    <row r="104">
      <c r="A104" s="7" t="inlineStr">
        <is>
          <t>Task</t>
        </is>
      </c>
      <c r="B104" s="7" t="inlineStr">
        <is>
          <t>T-0503</t>
        </is>
      </c>
      <c r="C104" s="7" t="inlineStr">
        <is>
          <t>ST-0501</t>
        </is>
      </c>
      <c r="D104" s="7" t="inlineStr">
        <is>
          <t>E05</t>
        </is>
      </c>
      <c r="E104" s="7" t="inlineStr">
        <is>
          <t>Obtain SAS runtime image + license terms from ABSA</t>
        </is>
      </c>
      <c r="F104" s="7" t="inlineStr">
        <is>
          <t>SAS2</t>
        </is>
      </c>
      <c r="G104" s="7" t="inlineStr">
        <is>
          <t>S2</t>
        </is>
      </c>
      <c r="H104" s="7" t="n">
        <v>0.5</v>
      </c>
      <c r="I104" s="7" t="inlineStr"/>
      <c r="J104" s="7" t="inlineStr"/>
      <c r="K104" s="7" t="inlineStr"/>
      <c r="L104" s="8" t="inlineStr">
        <is>
          <t>ABSA: SAS runtime</t>
        </is>
      </c>
      <c r="M104" s="7" t="inlineStr">
        <is>
          <t>Planned</t>
        </is>
      </c>
      <c r="N104" s="7" t="inlineStr"/>
    </row>
    <row r="105">
      <c r="A105" s="7" t="inlineStr">
        <is>
          <t>Task</t>
        </is>
      </c>
      <c r="B105" s="7" t="inlineStr">
        <is>
          <t>T-0504</t>
        </is>
      </c>
      <c r="C105" s="7" t="inlineStr">
        <is>
          <t>ST-0501</t>
        </is>
      </c>
      <c r="D105" s="7" t="inlineStr">
        <is>
          <t>E05</t>
        </is>
      </c>
      <c r="E105" s="7" t="inlineStr">
        <is>
          <t>Upgrade static_sas checker from structural to real lint</t>
        </is>
      </c>
      <c r="F105" s="7" t="inlineStr">
        <is>
          <t>SAS2</t>
        </is>
      </c>
      <c r="G105" s="7" t="inlineStr">
        <is>
          <t>S3</t>
        </is>
      </c>
      <c r="H105" s="7" t="n">
        <v>3</v>
      </c>
      <c r="I105" s="7" t="inlineStr"/>
      <c r="J105" s="7" t="inlineStr"/>
      <c r="K105" s="7" t="inlineStr">
        <is>
          <t>T-0503</t>
        </is>
      </c>
      <c r="L105" s="8" t="inlineStr">
        <is>
          <t>ABSA: SAS runtime</t>
        </is>
      </c>
      <c r="M105" s="7" t="inlineStr">
        <is>
          <t>Planned</t>
        </is>
      </c>
      <c r="N105" s="7" t="inlineStr">
        <is>
          <t>Pairs with TL on checker plumbing</t>
        </is>
      </c>
    </row>
    <row r="106">
      <c r="A106" s="6" t="inlineStr">
        <is>
          <t>Story</t>
        </is>
      </c>
      <c r="B106" s="6" t="inlineStr">
        <is>
          <t>ST-0504</t>
        </is>
      </c>
      <c r="C106" s="6" t="inlineStr">
        <is>
          <t>E05</t>
        </is>
      </c>
      <c r="D106" s="6" t="inlineStr">
        <is>
          <t>E05</t>
        </is>
      </c>
      <c r="E106" s="6" t="inlineStr">
        <is>
          <t>Reconciliation framework</t>
        </is>
      </c>
      <c r="F106" s="6" t="inlineStr"/>
      <c r="G106" s="6" t="inlineStr">
        <is>
          <t>S4-S6</t>
        </is>
      </c>
      <c r="H106" s="6" t="n">
        <v>3</v>
      </c>
      <c r="I106" s="6" t="n">
        <v>3</v>
      </c>
      <c r="J106" s="6" t="inlineStr">
        <is>
          <t>Must</t>
        </is>
      </c>
      <c r="K106" s="6" t="inlineStr"/>
      <c r="L106" s="6" t="inlineStr"/>
      <c r="M106" s="6" t="inlineStr"/>
      <c r="N106" s="6" t="inlineStr">
        <is>
          <t>Diff tool with tolerance bands + per-variable deltas; PIR-ready report template.</t>
        </is>
      </c>
    </row>
    <row r="107">
      <c r="A107" s="7" t="inlineStr">
        <is>
          <t>Task</t>
        </is>
      </c>
      <c r="B107" s="7" t="inlineStr">
        <is>
          <t>T-0514</t>
        </is>
      </c>
      <c r="C107" s="7" t="inlineStr">
        <is>
          <t>ST-0504</t>
        </is>
      </c>
      <c r="D107" s="7" t="inlineStr">
        <is>
          <t>E05</t>
        </is>
      </c>
      <c r="E107" s="7" t="inlineStr">
        <is>
          <t>Output diff tool: tolerance bands, per-variable deltas</t>
        </is>
      </c>
      <c r="F107" s="7" t="inlineStr">
        <is>
          <t>SAS</t>
        </is>
      </c>
      <c r="G107" s="7" t="inlineStr">
        <is>
          <t>S4</t>
        </is>
      </c>
      <c r="H107" s="7" t="n">
        <v>2</v>
      </c>
      <c r="I107" s="7" t="inlineStr"/>
      <c r="J107" s="7" t="inlineStr"/>
      <c r="K107" s="7" t="inlineStr">
        <is>
          <t>T-0508</t>
        </is>
      </c>
      <c r="L107" s="7" t="inlineStr"/>
      <c r="M107" s="7" t="inlineStr">
        <is>
          <t>Planned</t>
        </is>
      </c>
      <c r="N107" s="7" t="inlineStr">
        <is>
          <t>Co-design with DE</t>
        </is>
      </c>
    </row>
    <row r="108">
      <c r="A108" s="7" t="inlineStr">
        <is>
          <t>Task</t>
        </is>
      </c>
      <c r="B108" s="7" t="inlineStr">
        <is>
          <t>T-0515</t>
        </is>
      </c>
      <c r="C108" s="7" t="inlineStr">
        <is>
          <t>ST-0504</t>
        </is>
      </c>
      <c r="D108" s="7" t="inlineStr">
        <is>
          <t>E05</t>
        </is>
      </c>
      <c r="E108" s="7" t="inlineStr">
        <is>
          <t>Reconciliation report template (PIR-ready)</t>
        </is>
      </c>
      <c r="F108" s="7" t="inlineStr">
        <is>
          <t>SAS</t>
        </is>
      </c>
      <c r="G108" s="7" t="inlineStr">
        <is>
          <t>S6</t>
        </is>
      </c>
      <c r="H108" s="7" t="n">
        <v>1</v>
      </c>
      <c r="I108" s="7" t="inlineStr"/>
      <c r="J108" s="7" t="inlineStr"/>
      <c r="K108" s="7" t="inlineStr">
        <is>
          <t>T-0514</t>
        </is>
      </c>
      <c r="L108" s="7" t="inlineStr"/>
      <c r="M108" s="7" t="inlineStr">
        <is>
          <t>Planned</t>
        </is>
      </c>
      <c r="N108" s="7" t="inlineStr"/>
    </row>
    <row r="109">
      <c r="A109" s="5" t="inlineStr">
        <is>
          <t>EPIC</t>
        </is>
      </c>
      <c r="B109" s="5" t="inlineStr">
        <is>
          <t>E06</t>
        </is>
      </c>
      <c r="C109" s="5" t="inlineStr"/>
      <c r="D109" s="5" t="inlineStr">
        <is>
          <t>E06</t>
        </is>
      </c>
      <c r="E109" s="5" t="inlineStr">
        <is>
          <t>ML Compute &amp; Pipeline Execution - Compute platform decision (D04), real Step Functions execution, schedules, prod promote.</t>
        </is>
      </c>
      <c r="F109" s="5" t="inlineStr">
        <is>
          <t>AWS</t>
        </is>
      </c>
      <c r="G109" s="5" t="inlineStr">
        <is>
          <t>S3-S6</t>
        </is>
      </c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</row>
    <row r="110">
      <c r="A110" s="6" t="inlineStr">
        <is>
          <t>Story</t>
        </is>
      </c>
      <c r="B110" s="6" t="inlineStr">
        <is>
          <t>ST-0601</t>
        </is>
      </c>
      <c r="C110" s="6" t="inlineStr">
        <is>
          <t>E06</t>
        </is>
      </c>
      <c r="D110" s="6" t="inlineStr">
        <is>
          <t>E06</t>
        </is>
      </c>
      <c r="E110" s="6" t="inlineStr">
        <is>
          <t>Compute platform decision (D04)</t>
        </is>
      </c>
      <c r="F110" s="6" t="inlineStr"/>
      <c r="G110" s="6" t="inlineStr">
        <is>
          <t>S3</t>
        </is>
      </c>
      <c r="H110" s="6" t="n">
        <v>1</v>
      </c>
      <c r="I110" s="6" t="n">
        <v>1</v>
      </c>
      <c r="J110" s="6" t="inlineStr">
        <is>
          <t>Must</t>
        </is>
      </c>
      <c r="K110" s="6" t="inlineStr"/>
      <c r="L110" s="6" t="inlineStr"/>
      <c r="M110" s="6" t="inlineStr"/>
      <c r="N110" s="6" t="inlineStr">
        <is>
          <t>ADR records SFN+Lambda vs SageMaker choice with ABSA architecture board.</t>
        </is>
      </c>
    </row>
    <row r="111">
      <c r="A111" s="7" t="inlineStr">
        <is>
          <t>Task</t>
        </is>
      </c>
      <c r="B111" s="7" t="inlineStr">
        <is>
          <t>T-0601</t>
        </is>
      </c>
      <c r="C111" s="7" t="inlineStr">
        <is>
          <t>ST-0601</t>
        </is>
      </c>
      <c r="D111" s="7" t="inlineStr">
        <is>
          <t>E06</t>
        </is>
      </c>
      <c r="E111" s="7" t="inlineStr">
        <is>
          <t>ADR: D04 compute choice (SFN+Lambda vs SageMaker) w/ architecture board</t>
        </is>
      </c>
      <c r="F111" s="7" t="inlineStr">
        <is>
          <t>AWS2</t>
        </is>
      </c>
      <c r="G111" s="7" t="inlineStr">
        <is>
          <t>S3</t>
        </is>
      </c>
      <c r="H111" s="7" t="n">
        <v>1</v>
      </c>
      <c r="I111" s="7" t="inlineStr"/>
      <c r="J111" s="7" t="inlineStr"/>
      <c r="K111" s="7" t="inlineStr"/>
      <c r="L111" s="7" t="inlineStr"/>
      <c r="M111" s="7" t="inlineStr">
        <is>
          <t>Planned</t>
        </is>
      </c>
      <c r="N111" s="7" t="inlineStr">
        <is>
          <t>Gates compute build in S5</t>
        </is>
      </c>
    </row>
    <row r="112">
      <c r="A112" s="6" t="inlineStr">
        <is>
          <t>Story</t>
        </is>
      </c>
      <c r="B112" s="6" t="inlineStr">
        <is>
          <t>ST-0602</t>
        </is>
      </c>
      <c r="C112" s="6" t="inlineStr">
        <is>
          <t>E06</t>
        </is>
      </c>
      <c r="D112" s="6" t="inlineStr">
        <is>
          <t>E06</t>
        </is>
      </c>
      <c r="E112" s="6" t="inlineStr">
        <is>
          <t>Step Functions runtime execution</t>
        </is>
      </c>
      <c r="F112" s="6" t="inlineStr"/>
      <c r="G112" s="6" t="inlineStr">
        <is>
          <t>S5-S6</t>
        </is>
      </c>
      <c r="H112" s="6" t="n">
        <v>8</v>
      </c>
      <c r="I112" s="6" t="n">
        <v>8</v>
      </c>
      <c r="J112" s="6" t="inlineStr">
        <is>
          <t>Must</t>
        </is>
      </c>
      <c r="K112" s="6" t="inlineStr"/>
      <c r="L112" s="6" t="inlineStr"/>
      <c r="M112" s="6" t="inlineStr"/>
      <c r="N112" s="6" t="inlineStr">
        <is>
          <t>Model-1 ASL executes on real AWS in dev; compute layer built; EventBridge schedules set.</t>
        </is>
      </c>
    </row>
    <row r="113">
      <c r="A113" s="7" t="inlineStr">
        <is>
          <t>Task</t>
        </is>
      </c>
      <c r="B113" s="7" t="inlineStr">
        <is>
          <t>T-0602</t>
        </is>
      </c>
      <c r="C113" s="7" t="inlineStr">
        <is>
          <t>ST-0602</t>
        </is>
      </c>
      <c r="D113" s="7" t="inlineStr">
        <is>
          <t>E06</t>
        </is>
      </c>
      <c r="E113" s="7" t="inlineStr">
        <is>
          <t>Deploy real ASL standard-batch for model-1 (dev)</t>
        </is>
      </c>
      <c r="F113" s="7" t="inlineStr">
        <is>
          <t>AWS2</t>
        </is>
      </c>
      <c r="G113" s="7" t="inlineStr">
        <is>
          <t>S5</t>
        </is>
      </c>
      <c r="H113" s="7" t="n">
        <v>3</v>
      </c>
      <c r="I113" s="7" t="inlineStr"/>
      <c r="J113" s="7" t="inlineStr"/>
      <c r="K113" s="7" t="inlineStr">
        <is>
          <t>T-0601,T-0509</t>
        </is>
      </c>
      <c r="L113" s="7" t="inlineStr"/>
      <c r="M113" s="7" t="inlineStr">
        <is>
          <t>Planned</t>
        </is>
      </c>
      <c r="N113" s="7" t="inlineStr"/>
    </row>
    <row r="114">
      <c r="A114" s="7" t="inlineStr">
        <is>
          <t>Task</t>
        </is>
      </c>
      <c r="B114" s="7" t="inlineStr">
        <is>
          <t>T-0603</t>
        </is>
      </c>
      <c r="C114" s="7" t="inlineStr">
        <is>
          <t>ST-0602</t>
        </is>
      </c>
      <c r="D114" s="7" t="inlineStr">
        <is>
          <t>E06</t>
        </is>
      </c>
      <c r="E114" s="7" t="inlineStr">
        <is>
          <t>Build compute layer - core (Lambda container / SM Processing per D04)</t>
        </is>
      </c>
      <c r="F114" s="7" t="inlineStr">
        <is>
          <t>AWS2</t>
        </is>
      </c>
      <c r="G114" s="7" t="inlineStr">
        <is>
          <t>S5</t>
        </is>
      </c>
      <c r="H114" s="7" t="n">
        <v>2</v>
      </c>
      <c r="I114" s="7" t="inlineStr"/>
      <c r="J114" s="7" t="inlineStr"/>
      <c r="K114" s="7" t="inlineStr">
        <is>
          <t>T-0601</t>
        </is>
      </c>
      <c r="L114" s="7" t="inlineStr"/>
      <c r="M114" s="7" t="inlineStr">
        <is>
          <t>Planned</t>
        </is>
      </c>
      <c r="N114" s="7" t="inlineStr"/>
    </row>
    <row r="115">
      <c r="A115" s="7" t="inlineStr">
        <is>
          <t>Task</t>
        </is>
      </c>
      <c r="B115" s="7" t="inlineStr">
        <is>
          <t>T-0603b</t>
        </is>
      </c>
      <c r="C115" s="7" t="inlineStr">
        <is>
          <t>ST-0602</t>
        </is>
      </c>
      <c r="D115" s="7" t="inlineStr">
        <is>
          <t>E06</t>
        </is>
      </c>
      <c r="E115" s="7" t="inlineStr">
        <is>
          <t>Build compute layer - finalize + integrate</t>
        </is>
      </c>
      <c r="F115" s="7" t="inlineStr">
        <is>
          <t>AWS2</t>
        </is>
      </c>
      <c r="G115" s="7" t="inlineStr">
        <is>
          <t>S6</t>
        </is>
      </c>
      <c r="H115" s="7" t="n">
        <v>2</v>
      </c>
      <c r="I115" s="7" t="inlineStr"/>
      <c r="J115" s="7" t="inlineStr"/>
      <c r="K115" s="7" t="inlineStr">
        <is>
          <t>T-0603</t>
        </is>
      </c>
      <c r="L115" s="7" t="inlineStr"/>
      <c r="M115" s="7" t="inlineStr">
        <is>
          <t>Planned</t>
        </is>
      </c>
      <c r="N115" s="7" t="inlineStr"/>
    </row>
    <row r="116">
      <c r="A116" s="7" t="inlineStr">
        <is>
          <t>Task</t>
        </is>
      </c>
      <c r="B116" s="7" t="inlineStr">
        <is>
          <t>T-0604</t>
        </is>
      </c>
      <c r="C116" s="7" t="inlineStr">
        <is>
          <t>ST-0602</t>
        </is>
      </c>
      <c r="D116" s="7" t="inlineStr">
        <is>
          <t>E06</t>
        </is>
      </c>
      <c r="E116" s="7" t="inlineStr">
        <is>
          <t>EventBridge schedules per model cadence</t>
        </is>
      </c>
      <c r="F116" s="7" t="inlineStr">
        <is>
          <t>AWS2</t>
        </is>
      </c>
      <c r="G116" s="7" t="inlineStr">
        <is>
          <t>S6</t>
        </is>
      </c>
      <c r="H116" s="7" t="n">
        <v>1</v>
      </c>
      <c r="I116" s="7" t="inlineStr"/>
      <c r="J116" s="7" t="inlineStr"/>
      <c r="K116" s="7" t="inlineStr">
        <is>
          <t>T-0602</t>
        </is>
      </c>
      <c r="L116" s="7" t="inlineStr"/>
      <c r="M116" s="7" t="inlineStr">
        <is>
          <t>Planned</t>
        </is>
      </c>
      <c r="N116" s="7" t="inlineStr"/>
    </row>
    <row r="117">
      <c r="A117" s="6" t="inlineStr">
        <is>
          <t>Story</t>
        </is>
      </c>
      <c r="B117" s="6" t="inlineStr">
        <is>
          <t>ST-0603</t>
        </is>
      </c>
      <c r="C117" s="6" t="inlineStr">
        <is>
          <t>E06</t>
        </is>
      </c>
      <c r="D117" s="6" t="inlineStr">
        <is>
          <t>E06</t>
        </is>
      </c>
      <c r="E117" s="6" t="inlineStr">
        <is>
          <t>Production pipeline infra</t>
        </is>
      </c>
      <c r="F117" s="6" t="inlineStr"/>
      <c r="G117" s="6" t="inlineStr">
        <is>
          <t>S6</t>
        </is>
      </c>
      <c r="H117" s="6" t="n">
        <v>3</v>
      </c>
      <c r="I117" s="6" t="n">
        <v>3</v>
      </c>
      <c r="J117" s="6" t="inlineStr">
        <is>
          <t>Must</t>
        </is>
      </c>
      <c r="K117" s="6" t="inlineStr"/>
      <c r="L117" s="6" t="inlineStr"/>
      <c r="M117" s="6" t="inlineStr"/>
      <c r="N117" s="6" t="inlineStr">
        <is>
          <t>Prod promote done; SLA bands defined.</t>
        </is>
      </c>
    </row>
    <row r="118">
      <c r="A118" s="7" t="inlineStr">
        <is>
          <t>Task</t>
        </is>
      </c>
      <c r="B118" s="7" t="inlineStr">
        <is>
          <t>T-0605</t>
        </is>
      </c>
      <c r="C118" s="7" t="inlineStr">
        <is>
          <t>ST-0603</t>
        </is>
      </c>
      <c r="D118" s="7" t="inlineStr">
        <is>
          <t>E06</t>
        </is>
      </c>
      <c r="E118" s="7" t="inlineStr">
        <is>
          <t>Promote pipeline infra to prod</t>
        </is>
      </c>
      <c r="F118" s="7" t="inlineStr">
        <is>
          <t>AWS2</t>
        </is>
      </c>
      <c r="G118" s="7" t="inlineStr">
        <is>
          <t>S6</t>
        </is>
      </c>
      <c r="H118" s="7" t="n">
        <v>2</v>
      </c>
      <c r="I118" s="7" t="inlineStr"/>
      <c r="J118" s="7" t="inlineStr"/>
      <c r="K118" s="7" t="inlineStr">
        <is>
          <t>T-0602</t>
        </is>
      </c>
      <c r="L118" s="7" t="inlineStr"/>
      <c r="M118" s="7" t="inlineStr">
        <is>
          <t>Planned</t>
        </is>
      </c>
      <c r="N118" s="7" t="inlineStr"/>
    </row>
    <row r="119">
      <c r="A119" s="7" t="inlineStr">
        <is>
          <t>Task</t>
        </is>
      </c>
      <c r="B119" s="7" t="inlineStr">
        <is>
          <t>T-0606</t>
        </is>
      </c>
      <c r="C119" s="7" t="inlineStr">
        <is>
          <t>ST-0603</t>
        </is>
      </c>
      <c r="D119" s="7" t="inlineStr">
        <is>
          <t>E06</t>
        </is>
      </c>
      <c r="E119" s="7" t="inlineStr">
        <is>
          <t>Define SLA bands per model cadence</t>
        </is>
      </c>
      <c r="F119" s="7" t="inlineStr">
        <is>
          <t>AWS2</t>
        </is>
      </c>
      <c r="G119" s="7" t="inlineStr">
        <is>
          <t>S6</t>
        </is>
      </c>
      <c r="H119" s="7" t="n">
        <v>1</v>
      </c>
      <c r="I119" s="7" t="inlineStr"/>
      <c r="J119" s="7" t="inlineStr"/>
      <c r="K119" s="7" t="inlineStr">
        <is>
          <t>T-0605</t>
        </is>
      </c>
      <c r="L119" s="7" t="inlineStr"/>
      <c r="M119" s="7" t="inlineStr">
        <is>
          <t>Planned</t>
        </is>
      </c>
      <c r="N119" s="7" t="inlineStr">
        <is>
          <t>Feeds perf test T-1202/1203</t>
        </is>
      </c>
    </row>
    <row r="120">
      <c r="A120" s="5" t="inlineStr">
        <is>
          <t>EPIC</t>
        </is>
      </c>
      <c r="B120" s="5" t="inlineStr">
        <is>
          <t>E07</t>
        </is>
      </c>
      <c r="C120" s="5" t="inlineStr"/>
      <c r="D120" s="5" t="inlineStr">
        <is>
          <t>E07</t>
        </is>
      </c>
      <c r="E120" s="5" t="inlineStr">
        <is>
          <t>Security, Controls &amp; Compliance - Change workflow, threat model, IAM least-privilege, encryption validation, pen-test, POPIA/SARB, audit pack.</t>
        </is>
      </c>
      <c r="F120" s="5" t="inlineStr">
        <is>
          <t>TL</t>
        </is>
      </c>
      <c r="G120" s="5" t="inlineStr">
        <is>
          <t>S2-S8</t>
        </is>
      </c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</row>
    <row r="121">
      <c r="A121" s="6" t="inlineStr">
        <is>
          <t>Story</t>
        </is>
      </c>
      <c r="B121" s="6" t="inlineStr">
        <is>
          <t>ST-0701</t>
        </is>
      </c>
      <c r="C121" s="6" t="inlineStr">
        <is>
          <t>E07</t>
        </is>
      </c>
      <c r="D121" s="6" t="inlineStr">
        <is>
          <t>E07</t>
        </is>
      </c>
      <c r="E121" s="6" t="inlineStr">
        <is>
          <t>Change workflow (D02)</t>
        </is>
      </c>
      <c r="F121" s="6" t="inlineStr"/>
      <c r="G121" s="6" t="inlineStr">
        <is>
          <t>S5</t>
        </is>
      </c>
      <c r="H121" s="6" t="n">
        <v>2</v>
      </c>
      <c r="I121" s="6" t="n">
        <v>2</v>
      </c>
      <c r="J121" s="6" t="inlineStr">
        <is>
          <t>Must</t>
        </is>
      </c>
      <c r="K121" s="6" t="inlineStr"/>
      <c r="L121" s="6" t="inlineStr"/>
      <c r="M121" s="6" t="inlineStr"/>
      <c r="N121" s="6" t="inlineStr">
        <is>
          <t>CAB/IVU mapped to registry approve route; production-change path documented.</t>
        </is>
      </c>
    </row>
    <row r="122">
      <c r="A122" s="7" t="inlineStr">
        <is>
          <t>Task</t>
        </is>
      </c>
      <c r="B122" s="7" t="inlineStr">
        <is>
          <t>T-0701</t>
        </is>
      </c>
      <c r="C122" s="7" t="inlineStr">
        <is>
          <t>ST-0701</t>
        </is>
      </c>
      <c r="D122" s="7" t="inlineStr">
        <is>
          <t>E07</t>
        </is>
      </c>
      <c r="E122" s="7" t="inlineStr">
        <is>
          <t>Map CAB/IVU contract onto registry approve/retire routes (D02)</t>
        </is>
      </c>
      <c r="F122" s="7" t="inlineStr">
        <is>
          <t>TL</t>
        </is>
      </c>
      <c r="G122" s="7" t="inlineStr">
        <is>
          <t>S5</t>
        </is>
      </c>
      <c r="H122" s="7" t="n">
        <v>2</v>
      </c>
      <c r="I122" s="7" t="inlineStr"/>
      <c r="J122" s="7" t="inlineStr"/>
      <c r="K122" s="7" t="inlineStr"/>
      <c r="L122" s="8" t="inlineStr">
        <is>
          <t>ABSA: CAB/IVU contract</t>
        </is>
      </c>
      <c r="M122" s="7" t="inlineStr">
        <is>
          <t>Planned</t>
        </is>
      </c>
      <c r="N122" s="7" t="inlineStr"/>
    </row>
    <row r="123">
      <c r="A123" s="6" t="inlineStr">
        <is>
          <t>Story</t>
        </is>
      </c>
      <c r="B123" s="6" t="inlineStr">
        <is>
          <t>ST-0702</t>
        </is>
      </c>
      <c r="C123" s="6" t="inlineStr">
        <is>
          <t>E07</t>
        </is>
      </c>
      <c r="D123" s="6" t="inlineStr">
        <is>
          <t>E07</t>
        </is>
      </c>
      <c r="E123" s="6" t="inlineStr">
        <is>
          <t>Rotation, retention policy &amp; access audit</t>
        </is>
      </c>
      <c r="F123" s="6" t="inlineStr"/>
      <c r="G123" s="6" t="inlineStr">
        <is>
          <t>S4-S7</t>
        </is>
      </c>
      <c r="H123" s="6" t="n">
        <v>4</v>
      </c>
      <c r="I123" s="6" t="n">
        <v>5</v>
      </c>
      <c r="J123" s="6" t="inlineStr">
        <is>
          <t>Must</t>
        </is>
      </c>
      <c r="K123" s="6" t="inlineStr"/>
      <c r="L123" s="6" t="inlineStr"/>
      <c r="M123" s="6" t="inlineStr"/>
      <c r="N123" s="6" t="inlineStr">
        <is>
          <t>Rotation cadence doc; S3 lifecycle policies; KMS rotation drill; pre-go-live access audit.</t>
        </is>
      </c>
    </row>
    <row r="124">
      <c r="A124" s="7" t="inlineStr">
        <is>
          <t>Task</t>
        </is>
      </c>
      <c r="B124" s="7" t="inlineStr">
        <is>
          <t>T-0702</t>
        </is>
      </c>
      <c r="C124" s="7" t="inlineStr">
        <is>
          <t>ST-0702</t>
        </is>
      </c>
      <c r="D124" s="7" t="inlineStr">
        <is>
          <t>E07</t>
        </is>
      </c>
      <c r="E124" s="7" t="inlineStr">
        <is>
          <t>Rotation cadence doc: Jenkins creds, bot PAT, registrar tokens (D03)</t>
        </is>
      </c>
      <c r="F124" s="7" t="inlineStr">
        <is>
          <t>DevOps</t>
        </is>
      </c>
      <c r="G124" s="7" t="inlineStr">
        <is>
          <t>S4</t>
        </is>
      </c>
      <c r="H124" s="7" t="n">
        <v>1</v>
      </c>
      <c r="I124" s="7" t="inlineStr"/>
      <c r="J124" s="7" t="inlineStr"/>
      <c r="K124" s="7" t="inlineStr">
        <is>
          <t>T-0211</t>
        </is>
      </c>
      <c r="L124" s="7" t="inlineStr"/>
      <c r="M124" s="7" t="inlineStr">
        <is>
          <t>Planned</t>
        </is>
      </c>
      <c r="N124" s="7" t="inlineStr"/>
    </row>
    <row r="125">
      <c r="A125" s="7" t="inlineStr">
        <is>
          <t>Task</t>
        </is>
      </c>
      <c r="B125" s="7" t="inlineStr">
        <is>
          <t>T-0703pol</t>
        </is>
      </c>
      <c r="C125" s="7" t="inlineStr">
        <is>
          <t>ST-0702</t>
        </is>
      </c>
      <c r="D125" s="7" t="inlineStr">
        <is>
          <t>E07</t>
        </is>
      </c>
      <c r="E125" s="7" t="inlineStr">
        <is>
          <t>S3 lifecycle/retention policies authored per retention rules</t>
        </is>
      </c>
      <c r="F125" s="7" t="inlineStr">
        <is>
          <t>AWS</t>
        </is>
      </c>
      <c r="G125" s="7" t="inlineStr">
        <is>
          <t>S7</t>
        </is>
      </c>
      <c r="H125" s="7" t="n">
        <v>1</v>
      </c>
      <c r="I125" s="7" t="inlineStr"/>
      <c r="J125" s="7" t="inlineStr"/>
      <c r="K125" s="7" t="inlineStr">
        <is>
          <t>T-0318</t>
        </is>
      </c>
      <c r="L125" s="7" t="inlineStr"/>
      <c r="M125" s="7" t="inlineStr">
        <is>
          <t>Planned</t>
        </is>
      </c>
      <c r="N125" s="7" t="inlineStr"/>
    </row>
    <row r="126">
      <c r="A126" s="7" t="inlineStr">
        <is>
          <t>Task</t>
        </is>
      </c>
      <c r="B126" s="7" t="inlineStr">
        <is>
          <t>T-0704</t>
        </is>
      </c>
      <c r="C126" s="7" t="inlineStr">
        <is>
          <t>ST-0702</t>
        </is>
      </c>
      <c r="D126" s="7" t="inlineStr">
        <is>
          <t>E07</t>
        </is>
      </c>
      <c r="E126" s="7" t="inlineStr">
        <is>
          <t>KMS rotation drill per docs/runbooks/kms-key-rotation.md</t>
        </is>
      </c>
      <c r="F126" s="7" t="inlineStr">
        <is>
          <t>DevOps</t>
        </is>
      </c>
      <c r="G126" s="7" t="inlineStr">
        <is>
          <t>S7</t>
        </is>
      </c>
      <c r="H126" s="7" t="n">
        <v>1</v>
      </c>
      <c r="I126" s="7" t="inlineStr"/>
      <c r="J126" s="7" t="inlineStr"/>
      <c r="K126" s="7" t="inlineStr">
        <is>
          <t>T-0311</t>
        </is>
      </c>
      <c r="L126" s="7" t="inlineStr"/>
      <c r="M126" s="7" t="inlineStr">
        <is>
          <t>Planned</t>
        </is>
      </c>
      <c r="N126" s="7" t="inlineStr">
        <is>
          <t>AWS supports 0.5d</t>
        </is>
      </c>
    </row>
    <row r="127">
      <c r="A127" s="7" t="inlineStr">
        <is>
          <t>Task</t>
        </is>
      </c>
      <c r="B127" s="7" t="inlineStr">
        <is>
          <t>T-0705</t>
        </is>
      </c>
      <c r="C127" s="7" t="inlineStr">
        <is>
          <t>ST-0702</t>
        </is>
      </c>
      <c r="D127" s="7" t="inlineStr">
        <is>
          <t>E07</t>
        </is>
      </c>
      <c r="E127" s="7" t="inlineStr">
        <is>
          <t>Pre-go-live access review + least-privilege audit</t>
        </is>
      </c>
      <c r="F127" s="7" t="inlineStr">
        <is>
          <t>AWS</t>
        </is>
      </c>
      <c r="G127" s="7" t="inlineStr">
        <is>
          <t>S7</t>
        </is>
      </c>
      <c r="H127" s="7" t="n">
        <v>1</v>
      </c>
      <c r="I127" s="7" t="inlineStr"/>
      <c r="J127" s="7" t="inlineStr"/>
      <c r="K127" s="7" t="inlineStr">
        <is>
          <t>T-0310</t>
        </is>
      </c>
      <c r="L127" s="7" t="inlineStr"/>
      <c r="M127" s="7" t="inlineStr">
        <is>
          <t>Planned</t>
        </is>
      </c>
      <c r="N127" s="7" t="inlineStr"/>
    </row>
    <row r="128">
      <c r="A128" s="6" t="inlineStr">
        <is>
          <t>Story</t>
        </is>
      </c>
      <c r="B128" s="6" t="inlineStr">
        <is>
          <t>ST-0703</t>
        </is>
      </c>
      <c r="C128" s="6" t="inlineStr">
        <is>
          <t>E07</t>
        </is>
      </c>
      <c r="D128" s="6" t="inlineStr">
        <is>
          <t>E07</t>
        </is>
      </c>
      <c r="E128" s="6" t="inlineStr">
        <is>
          <t>Security assurance</t>
        </is>
      </c>
      <c r="F128" s="6" t="inlineStr"/>
      <c r="G128" s="6" t="inlineStr">
        <is>
          <t>S4-S8</t>
        </is>
      </c>
      <c r="H128" s="6" t="n">
        <v>7</v>
      </c>
      <c r="I128" s="6" t="n">
        <v>8</v>
      </c>
      <c r="J128" s="6" t="inlineStr">
        <is>
          <t>Must</t>
        </is>
      </c>
      <c r="K128" s="6" t="inlineStr"/>
      <c r="L128" s="6" t="inlineStr"/>
      <c r="M128" s="6" t="inlineStr"/>
      <c r="N128" s="6" t="inlineStr">
        <is>
          <t>Threat model, IAM least-privilege audit, encryption validation, pen-test + remediation.</t>
        </is>
      </c>
    </row>
    <row r="129">
      <c r="A129" s="7" t="inlineStr">
        <is>
          <t>Task</t>
        </is>
      </c>
      <c r="B129" s="7" t="inlineStr">
        <is>
          <t>T-0706</t>
        </is>
      </c>
      <c r="C129" s="7" t="inlineStr">
        <is>
          <t>ST-0703</t>
        </is>
      </c>
      <c r="D129" s="7" t="inlineStr">
        <is>
          <t>E07</t>
        </is>
      </c>
      <c r="E129" s="7" t="inlineStr">
        <is>
          <t>Threat model workshop (STRIDE) on cross-account signing chain</t>
        </is>
      </c>
      <c r="F129" s="7" t="inlineStr">
        <is>
          <t>TL</t>
        </is>
      </c>
      <c r="G129" s="7" t="inlineStr">
        <is>
          <t>S4</t>
        </is>
      </c>
      <c r="H129" s="7" t="n">
        <v>1.5</v>
      </c>
      <c r="I129" s="7" t="inlineStr"/>
      <c r="J129" s="7" t="inlineStr"/>
      <c r="K129" s="7" t="inlineStr"/>
      <c r="L129" s="7" t="inlineStr"/>
      <c r="M129" s="7" t="inlineStr">
        <is>
          <t>Planned</t>
        </is>
      </c>
      <c r="N129" s="7" t="inlineStr">
        <is>
          <t>AWS co-runs</t>
        </is>
      </c>
    </row>
    <row r="130">
      <c r="A130" s="7" t="inlineStr">
        <is>
          <t>Task</t>
        </is>
      </c>
      <c r="B130" s="7" t="inlineStr">
        <is>
          <t>T-0707</t>
        </is>
      </c>
      <c r="C130" s="7" t="inlineStr">
        <is>
          <t>ST-0703</t>
        </is>
      </c>
      <c r="D130" s="7" t="inlineStr">
        <is>
          <t>E07</t>
        </is>
      </c>
      <c r="E130" s="7" t="inlineStr">
        <is>
          <t>IAM least-privilege audit (automated policy analysis)</t>
        </is>
      </c>
      <c r="F130" s="7" t="inlineStr">
        <is>
          <t>AWS2</t>
        </is>
      </c>
      <c r="G130" s="7" t="inlineStr">
        <is>
          <t>S7</t>
        </is>
      </c>
      <c r="H130" s="7" t="n">
        <v>1.5</v>
      </c>
      <c r="I130" s="7" t="inlineStr"/>
      <c r="J130" s="7" t="inlineStr"/>
      <c r="K130" s="7" t="inlineStr">
        <is>
          <t>T-0310</t>
        </is>
      </c>
      <c r="L130" s="7" t="inlineStr"/>
      <c r="M130" s="7" t="inlineStr">
        <is>
          <t>Planned</t>
        </is>
      </c>
      <c r="N130" s="7" t="inlineStr"/>
    </row>
    <row r="131">
      <c r="A131" s="7" t="inlineStr">
        <is>
          <t>Task</t>
        </is>
      </c>
      <c r="B131" s="7" t="inlineStr">
        <is>
          <t>T-0708</t>
        </is>
      </c>
      <c r="C131" s="7" t="inlineStr">
        <is>
          <t>ST-0703</t>
        </is>
      </c>
      <c r="D131" s="7" t="inlineStr">
        <is>
          <t>E07</t>
        </is>
      </c>
      <c r="E131" s="7" t="inlineStr">
        <is>
          <t>Encryption validation: in-transit (TLS/replication) + at-rest (KMS) evidence</t>
        </is>
      </c>
      <c r="F131" s="7" t="inlineStr">
        <is>
          <t>AWS2</t>
        </is>
      </c>
      <c r="G131" s="7" t="inlineStr">
        <is>
          <t>S7</t>
        </is>
      </c>
      <c r="H131" s="7" t="n">
        <v>1.5</v>
      </c>
      <c r="I131" s="7" t="inlineStr"/>
      <c r="J131" s="7" t="inlineStr"/>
      <c r="K131" s="7" t="inlineStr">
        <is>
          <t>T-0318</t>
        </is>
      </c>
      <c r="L131" s="7" t="inlineStr"/>
      <c r="M131" s="7" t="inlineStr">
        <is>
          <t>Planned</t>
        </is>
      </c>
      <c r="N131" s="7" t="inlineStr"/>
    </row>
    <row r="132">
      <c r="A132" s="7" t="inlineStr">
        <is>
          <t>Task</t>
        </is>
      </c>
      <c r="B132" s="7" t="inlineStr">
        <is>
          <t>T-0709</t>
        </is>
      </c>
      <c r="C132" s="7" t="inlineStr">
        <is>
          <t>ST-0703</t>
        </is>
      </c>
      <c r="D132" s="7" t="inlineStr">
        <is>
          <t>E07</t>
        </is>
      </c>
      <c r="E132" s="7" t="inlineStr">
        <is>
          <t>Pen-test coordination + scope with ABSA security</t>
        </is>
      </c>
      <c r="F132" s="7" t="inlineStr">
        <is>
          <t>DevOps</t>
        </is>
      </c>
      <c r="G132" s="7" t="inlineStr">
        <is>
          <t>S7</t>
        </is>
      </c>
      <c r="H132" s="7" t="n">
        <v>1</v>
      </c>
      <c r="I132" s="7" t="inlineStr"/>
      <c r="J132" s="7" t="inlineStr"/>
      <c r="K132" s="7" t="inlineStr"/>
      <c r="L132" s="7" t="inlineStr"/>
      <c r="M132" s="7" t="inlineStr">
        <is>
          <t>Planned</t>
        </is>
      </c>
      <c r="N132" s="7" t="inlineStr"/>
    </row>
    <row r="133">
      <c r="A133" s="7" t="inlineStr">
        <is>
          <t>Task</t>
        </is>
      </c>
      <c r="B133" s="7" t="inlineStr">
        <is>
          <t>T-0710</t>
        </is>
      </c>
      <c r="C133" s="7" t="inlineStr">
        <is>
          <t>ST-0703</t>
        </is>
      </c>
      <c r="D133" s="7" t="inlineStr">
        <is>
          <t>E07</t>
        </is>
      </c>
      <c r="E133" s="7" t="inlineStr">
        <is>
          <t>Pen-test remediation window</t>
        </is>
      </c>
      <c r="F133" s="7" t="inlineStr">
        <is>
          <t>DevOps</t>
        </is>
      </c>
      <c r="G133" s="7" t="inlineStr">
        <is>
          <t>S8</t>
        </is>
      </c>
      <c r="H133" s="7" t="n">
        <v>1.5</v>
      </c>
      <c r="I133" s="7" t="inlineStr"/>
      <c r="J133" s="7" t="inlineStr"/>
      <c r="K133" s="7" t="inlineStr">
        <is>
          <t>T-0709</t>
        </is>
      </c>
      <c r="L133" s="7" t="inlineStr"/>
      <c r="M133" s="7" t="inlineStr">
        <is>
          <t>Planned</t>
        </is>
      </c>
      <c r="N133" s="7" t="inlineStr"/>
    </row>
    <row r="134">
      <c r="A134" s="6" t="inlineStr">
        <is>
          <t>Story</t>
        </is>
      </c>
      <c r="B134" s="6" t="inlineStr">
        <is>
          <t>ST-0704</t>
        </is>
      </c>
      <c r="C134" s="6" t="inlineStr">
        <is>
          <t>E07</t>
        </is>
      </c>
      <c r="D134" s="6" t="inlineStr">
        <is>
          <t>E07</t>
        </is>
      </c>
      <c r="E134" s="6" t="inlineStr">
        <is>
          <t>Compliance evidence</t>
        </is>
      </c>
      <c r="F134" s="6" t="inlineStr"/>
      <c r="G134" s="6" t="inlineStr">
        <is>
          <t>S6-S8</t>
        </is>
      </c>
      <c r="H134" s="6" t="n">
        <v>3</v>
      </c>
      <c r="I134" s="6" t="n">
        <v>3</v>
      </c>
      <c r="J134" s="6" t="inlineStr">
        <is>
          <t>Must</t>
        </is>
      </c>
      <c r="K134" s="6" t="inlineStr"/>
      <c r="L134" s="6" t="inlineStr"/>
      <c r="M134" s="6" t="inlineStr"/>
      <c r="N134" s="6" t="inlineStr">
        <is>
          <t>POPIA/SARB control verification vs control-matrix; G1 audit evidence pack assembled.</t>
        </is>
      </c>
    </row>
    <row r="135">
      <c r="A135" s="7" t="inlineStr">
        <is>
          <t>Task</t>
        </is>
      </c>
      <c r="B135" s="7" t="inlineStr">
        <is>
          <t>T-0711</t>
        </is>
      </c>
      <c r="C135" s="7" t="inlineStr">
        <is>
          <t>ST-0704</t>
        </is>
      </c>
      <c r="D135" s="7" t="inlineStr">
        <is>
          <t>E07</t>
        </is>
      </c>
      <c r="E135" s="7" t="inlineStr">
        <is>
          <t>POPIA/SARB control verification vs control-matrix</t>
        </is>
      </c>
      <c r="F135" s="7" t="inlineStr">
        <is>
          <t>TL</t>
        </is>
      </c>
      <c r="G135" s="7" t="inlineStr">
        <is>
          <t>S6</t>
        </is>
      </c>
      <c r="H135" s="7" t="n">
        <v>1.5</v>
      </c>
      <c r="I135" s="7" t="inlineStr"/>
      <c r="J135" s="7" t="inlineStr"/>
      <c r="K135" s="7" t="inlineStr"/>
      <c r="L135" s="7" t="inlineStr"/>
      <c r="M135" s="7" t="inlineStr">
        <is>
          <t>Planned</t>
        </is>
      </c>
      <c r="N135" s="7" t="inlineStr"/>
    </row>
    <row r="136">
      <c r="A136" s="7" t="inlineStr">
        <is>
          <t>Task</t>
        </is>
      </c>
      <c r="B136" s="7" t="inlineStr">
        <is>
          <t>T-0712</t>
        </is>
      </c>
      <c r="C136" s="7" t="inlineStr">
        <is>
          <t>ST-0704</t>
        </is>
      </c>
      <c r="D136" s="7" t="inlineStr">
        <is>
          <t>E07</t>
        </is>
      </c>
      <c r="E136" s="7" t="inlineStr">
        <is>
          <t>Audit evidence pack assembly (G1) for ABSA risk + external audit</t>
        </is>
      </c>
      <c r="F136" s="7" t="inlineStr">
        <is>
          <t>TL</t>
        </is>
      </c>
      <c r="G136" s="7" t="inlineStr">
        <is>
          <t>S8</t>
        </is>
      </c>
      <c r="H136" s="7" t="n">
        <v>1.5</v>
      </c>
      <c r="I136" s="7" t="inlineStr"/>
      <c r="J136" s="7" t="inlineStr"/>
      <c r="K136" s="7" t="inlineStr">
        <is>
          <t>T-0813</t>
        </is>
      </c>
      <c r="L136" s="7" t="inlineStr"/>
      <c r="M136" s="7" t="inlineStr">
        <is>
          <t>Planned</t>
        </is>
      </c>
      <c r="N136" s="7" t="inlineStr"/>
    </row>
    <row r="137">
      <c r="A137" s="5" t="inlineStr">
        <is>
          <t>EPIC</t>
        </is>
      </c>
      <c r="B137" s="5" t="inlineStr">
        <is>
          <t>E08</t>
        </is>
      </c>
      <c r="C137" s="5" t="inlineStr"/>
      <c r="D137" s="5" t="inlineStr">
        <is>
          <t>E08</t>
        </is>
      </c>
      <c r="E137" s="5" t="inlineStr">
        <is>
          <t>Group 1 - Model Onboarding (Models 1-2) - Models 1-2: review, optimize, package, reconcile vs ABSA benchmarks. The proof of the chain.</t>
        </is>
      </c>
      <c r="F137" s="5" t="inlineStr">
        <is>
          <t>SAS</t>
        </is>
      </c>
      <c r="G137" s="5" t="inlineStr">
        <is>
          <t>S2-S6</t>
        </is>
      </c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</row>
    <row r="138">
      <c r="A138" s="6" t="inlineStr">
        <is>
          <t>Story</t>
        </is>
      </c>
      <c r="B138" s="6" t="inlineStr">
        <is>
          <t>ST-0502</t>
        </is>
      </c>
      <c r="C138" s="6" t="inlineStr">
        <is>
          <t>E08</t>
        </is>
      </c>
      <c r="D138" s="6" t="inlineStr">
        <is>
          <t>E08</t>
        </is>
      </c>
      <c r="E138" s="6" t="inlineStr">
        <is>
          <t>Model 1 onboarding (SAS #1)</t>
        </is>
      </c>
      <c r="F138" s="6" t="inlineStr"/>
      <c r="G138" s="6" t="inlineStr">
        <is>
          <t>S2-S4</t>
        </is>
      </c>
      <c r="H138" s="6" t="n">
        <v>10.5</v>
      </c>
      <c r="I138" s="6" t="n">
        <v>13</v>
      </c>
      <c r="J138" s="6" t="inlineStr">
        <is>
          <t>Must</t>
        </is>
      </c>
      <c r="K138" s="6" t="inlineStr"/>
      <c r="L138" s="6" t="inlineStr"/>
      <c r="M138" s="6" t="inlineStr"/>
      <c r="N138" s="6" t="inlineStr">
        <is>
          <t>Optimized code reconciles vs ABSA benchmarks; packaged per ADR-0010; code-intake green.</t>
        </is>
      </c>
    </row>
    <row r="139">
      <c r="A139" s="7" t="inlineStr">
        <is>
          <t>Task</t>
        </is>
      </c>
      <c r="B139" s="7" t="inlineStr">
        <is>
          <t>T-0505</t>
        </is>
      </c>
      <c r="C139" s="7" t="inlineStr">
        <is>
          <t>ST-0502</t>
        </is>
      </c>
      <c r="D139" s="7" t="inlineStr">
        <is>
          <t>E08</t>
        </is>
      </c>
      <c r="E139" s="7" t="inlineStr">
        <is>
          <t>Model-1 dev-code review vs benchmark spec</t>
        </is>
      </c>
      <c r="F139" s="7" t="inlineStr">
        <is>
          <t>SAS</t>
        </is>
      </c>
      <c r="G139" s="7" t="inlineStr">
        <is>
          <t>S2</t>
        </is>
      </c>
      <c r="H139" s="7" t="n">
        <v>2</v>
      </c>
      <c r="I139" s="7" t="inlineStr"/>
      <c r="J139" s="7" t="inlineStr"/>
      <c r="K139" s="7" t="inlineStr">
        <is>
          <t>T-0502</t>
        </is>
      </c>
      <c r="L139" s="8" t="inlineStr">
        <is>
          <t>ABSA: model docs</t>
        </is>
      </c>
      <c r="M139" s="7" t="inlineStr">
        <is>
          <t>Planned</t>
        </is>
      </c>
      <c r="N139" s="7" t="inlineStr"/>
    </row>
    <row r="140">
      <c r="A140" s="7" t="inlineStr">
        <is>
          <t>Task</t>
        </is>
      </c>
      <c r="B140" s="7" t="inlineStr">
        <is>
          <t>T-0506</t>
        </is>
      </c>
      <c r="C140" s="7" t="inlineStr">
        <is>
          <t>ST-0502</t>
        </is>
      </c>
      <c r="D140" s="7" t="inlineStr">
        <is>
          <t>E08</t>
        </is>
      </c>
      <c r="E140" s="7" t="inlineStr">
        <is>
          <t>Benchmark spec gap notes; clarify with ABSA model owner</t>
        </is>
      </c>
      <c r="F140" s="7" t="inlineStr">
        <is>
          <t>SAS</t>
        </is>
      </c>
      <c r="G140" s="7" t="inlineStr">
        <is>
          <t>S2</t>
        </is>
      </c>
      <c r="H140" s="7" t="n">
        <v>1</v>
      </c>
      <c r="I140" s="7" t="inlineStr"/>
      <c r="J140" s="7" t="inlineStr"/>
      <c r="K140" s="7" t="inlineStr">
        <is>
          <t>T-0505</t>
        </is>
      </c>
      <c r="L140" s="7" t="inlineStr"/>
      <c r="M140" s="7" t="inlineStr">
        <is>
          <t>Planned</t>
        </is>
      </c>
      <c r="N140" s="7" t="inlineStr"/>
    </row>
    <row r="141">
      <c r="A141" s="7" t="inlineStr">
        <is>
          <t>Task</t>
        </is>
      </c>
      <c r="B141" s="7" t="inlineStr">
        <is>
          <t>T-0507</t>
        </is>
      </c>
      <c r="C141" s="7" t="inlineStr">
        <is>
          <t>ST-0502</t>
        </is>
      </c>
      <c r="D141" s="7" t="inlineStr">
        <is>
          <t>E08</t>
        </is>
      </c>
      <c r="E141" s="7" t="inlineStr">
        <is>
          <t>Optimize + standardize model-1 scoring code (profile, refactor, unit-test)</t>
        </is>
      </c>
      <c r="F141" s="7" t="inlineStr">
        <is>
          <t>SAS</t>
        </is>
      </c>
      <c r="G141" s="7" t="inlineStr">
        <is>
          <t>S3</t>
        </is>
      </c>
      <c r="H141" s="7" t="n">
        <v>4</v>
      </c>
      <c r="I141" s="7" t="inlineStr"/>
      <c r="J141" s="7" t="inlineStr"/>
      <c r="K141" s="7" t="inlineStr">
        <is>
          <t>T-0505</t>
        </is>
      </c>
      <c r="L141" s="7" t="inlineStr"/>
      <c r="M141" s="7" t="inlineStr">
        <is>
          <t>Planned</t>
        </is>
      </c>
      <c r="N141" s="7" t="inlineStr"/>
    </row>
    <row r="142">
      <c r="A142" s="7" t="inlineStr">
        <is>
          <t>Task</t>
        </is>
      </c>
      <c r="B142" s="7" t="inlineStr">
        <is>
          <t>T-0508</t>
        </is>
      </c>
      <c r="C142" s="7" t="inlineStr">
        <is>
          <t>ST-0502</t>
        </is>
      </c>
      <c r="D142" s="7" t="inlineStr">
        <is>
          <t>E08</t>
        </is>
      </c>
      <c r="E142" s="7" t="inlineStr">
        <is>
          <t>Regression harness vs ABSA benchmark outputs</t>
        </is>
      </c>
      <c r="F142" s="7" t="inlineStr">
        <is>
          <t>SAS</t>
        </is>
      </c>
      <c r="G142" s="7" t="inlineStr">
        <is>
          <t>S4</t>
        </is>
      </c>
      <c r="H142" s="7" t="n">
        <v>2</v>
      </c>
      <c r="I142" s="7" t="inlineStr"/>
      <c r="J142" s="7" t="inlineStr"/>
      <c r="K142" s="7" t="inlineStr">
        <is>
          <t>T-0507</t>
        </is>
      </c>
      <c r="L142" s="7" t="inlineStr"/>
      <c r="M142" s="7" t="inlineStr">
        <is>
          <t>Planned</t>
        </is>
      </c>
      <c r="N142" s="7" t="inlineStr"/>
    </row>
    <row r="143">
      <c r="A143" s="7" t="inlineStr">
        <is>
          <t>Task</t>
        </is>
      </c>
      <c r="B143" s="7" t="inlineStr">
        <is>
          <t>T-0509</t>
        </is>
      </c>
      <c r="C143" s="7" t="inlineStr">
        <is>
          <t>ST-0502</t>
        </is>
      </c>
      <c r="D143" s="7" t="inlineStr">
        <is>
          <t>E08</t>
        </is>
      </c>
      <c r="E143" s="7" t="inlineStr">
        <is>
          <t>Package model-1 per ADR-0010; code-intake validate green</t>
        </is>
      </c>
      <c r="F143" s="7" t="inlineStr">
        <is>
          <t>SAS</t>
        </is>
      </c>
      <c r="G143" s="7" t="inlineStr">
        <is>
          <t>S4</t>
        </is>
      </c>
      <c r="H143" s="7" t="n">
        <v>1</v>
      </c>
      <c r="I143" s="7" t="inlineStr"/>
      <c r="J143" s="7" t="inlineStr"/>
      <c r="K143" s="7" t="inlineStr">
        <is>
          <t>T-0508</t>
        </is>
      </c>
      <c r="L143" s="7" t="inlineStr"/>
      <c r="M143" s="7" t="inlineStr">
        <is>
          <t>Planned</t>
        </is>
      </c>
      <c r="N143" s="7" t="inlineStr"/>
    </row>
    <row r="144">
      <c r="A144" s="7" t="inlineStr">
        <is>
          <t>Task</t>
        </is>
      </c>
      <c r="B144" s="7" t="inlineStr">
        <is>
          <t>T-0516</t>
        </is>
      </c>
      <c r="C144" s="7" t="inlineStr">
        <is>
          <t>ST-0502</t>
        </is>
      </c>
      <c r="D144" s="7" t="inlineStr">
        <is>
          <t>E08</t>
        </is>
      </c>
      <c r="E144" s="7" t="inlineStr">
        <is>
          <t>Model-1 implementation doc: generate (IDG) + review + approve</t>
        </is>
      </c>
      <c r="F144" s="7" t="inlineStr">
        <is>
          <t>SAS</t>
        </is>
      </c>
      <c r="G144" s="7" t="inlineStr">
        <is>
          <t>S8</t>
        </is>
      </c>
      <c r="H144" s="7" t="n">
        <v>0.5</v>
      </c>
      <c r="I144" s="7" t="inlineStr"/>
      <c r="J144" s="7" t="inlineStr"/>
      <c r="K144" s="7" t="inlineStr">
        <is>
          <t>T-1405</t>
        </is>
      </c>
      <c r="L144" s="7" t="inlineStr"/>
      <c r="M144" s="7" t="inlineStr">
        <is>
          <t>Planned</t>
        </is>
      </c>
      <c r="N144" s="7" t="inlineStr">
        <is>
          <t>ADR-0012; living doc per version</t>
        </is>
      </c>
    </row>
    <row r="145">
      <c r="A145" s="6" t="inlineStr">
        <is>
          <t>Story</t>
        </is>
      </c>
      <c r="B145" s="6" t="inlineStr">
        <is>
          <t>ST-0503</t>
        </is>
      </c>
      <c r="C145" s="6" t="inlineStr">
        <is>
          <t>E08</t>
        </is>
      </c>
      <c r="D145" s="6" t="inlineStr">
        <is>
          <t>E08</t>
        </is>
      </c>
      <c r="E145" s="6" t="inlineStr">
        <is>
          <t>Model 2 onboarding (SAS #2, in parallel)</t>
        </is>
      </c>
      <c r="F145" s="6" t="inlineStr"/>
      <c r="G145" s="6" t="inlineStr">
        <is>
          <t>S2-S6</t>
        </is>
      </c>
      <c r="H145" s="6" t="n">
        <v>9.5</v>
      </c>
      <c r="I145" s="6" t="n">
        <v>13</v>
      </c>
      <c r="J145" s="6" t="inlineStr">
        <is>
          <t>Must</t>
        </is>
      </c>
      <c r="K145" s="6" t="inlineStr"/>
      <c r="L145" s="6" t="inlineStr"/>
      <c r="M145" s="6" t="inlineStr"/>
      <c r="N145" s="6" t="inlineStr">
        <is>
          <t>Same exit criteria as model 1; runs in parallel on the 2nd SAS dev to de-risk the proof.</t>
        </is>
      </c>
    </row>
    <row r="146">
      <c r="A146" s="7" t="inlineStr">
        <is>
          <t>Task</t>
        </is>
      </c>
      <c r="B146" s="7" t="inlineStr">
        <is>
          <t>T-0510</t>
        </is>
      </c>
      <c r="C146" s="7" t="inlineStr">
        <is>
          <t>ST-0503</t>
        </is>
      </c>
      <c r="D146" s="7" t="inlineStr">
        <is>
          <t>E08</t>
        </is>
      </c>
      <c r="E146" s="7" t="inlineStr">
        <is>
          <t>Model-2 dev-code review vs benchmark spec</t>
        </is>
      </c>
      <c r="F146" s="7" t="inlineStr">
        <is>
          <t>SAS2</t>
        </is>
      </c>
      <c r="G146" s="7" t="inlineStr">
        <is>
          <t>S3</t>
        </is>
      </c>
      <c r="H146" s="7" t="n">
        <v>2</v>
      </c>
      <c r="I146" s="7" t="inlineStr"/>
      <c r="J146" s="7" t="inlineStr"/>
      <c r="K146" s="7" t="inlineStr">
        <is>
          <t>T-0502</t>
        </is>
      </c>
      <c r="L146" s="8" t="inlineStr">
        <is>
          <t>ABSA: model docs</t>
        </is>
      </c>
      <c r="M146" s="7" t="inlineStr">
        <is>
          <t>Planned</t>
        </is>
      </c>
      <c r="N146" s="7" t="inlineStr">
        <is>
          <t>Parallel to model-1 on SAS #1</t>
        </is>
      </c>
    </row>
    <row r="147">
      <c r="A147" s="7" t="inlineStr">
        <is>
          <t>Task</t>
        </is>
      </c>
      <c r="B147" s="7" t="inlineStr">
        <is>
          <t>T-0511</t>
        </is>
      </c>
      <c r="C147" s="7" t="inlineStr">
        <is>
          <t>ST-0503</t>
        </is>
      </c>
      <c r="D147" s="7" t="inlineStr">
        <is>
          <t>E08</t>
        </is>
      </c>
      <c r="E147" s="7" t="inlineStr">
        <is>
          <t>Optimize + standardize model-2 scoring code (profile, refactor, unit-test)</t>
        </is>
      </c>
      <c r="F147" s="7" t="inlineStr">
        <is>
          <t>SAS2</t>
        </is>
      </c>
      <c r="G147" s="7" t="inlineStr">
        <is>
          <t>S4</t>
        </is>
      </c>
      <c r="H147" s="7" t="n">
        <v>4</v>
      </c>
      <c r="I147" s="7" t="inlineStr"/>
      <c r="J147" s="7" t="inlineStr"/>
      <c r="K147" s="7" t="inlineStr">
        <is>
          <t>T-0510</t>
        </is>
      </c>
      <c r="L147" s="7" t="inlineStr"/>
      <c r="M147" s="7" t="inlineStr">
        <is>
          <t>Planned</t>
        </is>
      </c>
      <c r="N147" s="7" t="inlineStr"/>
    </row>
    <row r="148">
      <c r="A148" s="7" t="inlineStr">
        <is>
          <t>Task</t>
        </is>
      </c>
      <c r="B148" s="7" t="inlineStr">
        <is>
          <t>T-0512</t>
        </is>
      </c>
      <c r="C148" s="7" t="inlineStr">
        <is>
          <t>ST-0503</t>
        </is>
      </c>
      <c r="D148" s="7" t="inlineStr">
        <is>
          <t>E08</t>
        </is>
      </c>
      <c r="E148" s="7" t="inlineStr">
        <is>
          <t>Model-2 regression harness</t>
        </is>
      </c>
      <c r="F148" s="7" t="inlineStr">
        <is>
          <t>SAS2</t>
        </is>
      </c>
      <c r="G148" s="7" t="inlineStr">
        <is>
          <t>S5</t>
        </is>
      </c>
      <c r="H148" s="7" t="n">
        <v>2</v>
      </c>
      <c r="I148" s="7" t="inlineStr"/>
      <c r="J148" s="7" t="inlineStr"/>
      <c r="K148" s="7" t="inlineStr">
        <is>
          <t>T-0511</t>
        </is>
      </c>
      <c r="L148" s="7" t="inlineStr"/>
      <c r="M148" s="7" t="inlineStr">
        <is>
          <t>Planned</t>
        </is>
      </c>
      <c r="N148" s="7" t="inlineStr"/>
    </row>
    <row r="149">
      <c r="A149" s="7" t="inlineStr">
        <is>
          <t>Task</t>
        </is>
      </c>
      <c r="B149" s="7" t="inlineStr">
        <is>
          <t>T-0513</t>
        </is>
      </c>
      <c r="C149" s="7" t="inlineStr">
        <is>
          <t>ST-0503</t>
        </is>
      </c>
      <c r="D149" s="7" t="inlineStr">
        <is>
          <t>E08</t>
        </is>
      </c>
      <c r="E149" s="7" t="inlineStr">
        <is>
          <t>Package model-2 + code-intake green</t>
        </is>
      </c>
      <c r="F149" s="7" t="inlineStr">
        <is>
          <t>SAS2</t>
        </is>
      </c>
      <c r="G149" s="7" t="inlineStr">
        <is>
          <t>S5</t>
        </is>
      </c>
      <c r="H149" s="7" t="n">
        <v>1</v>
      </c>
      <c r="I149" s="7" t="inlineStr"/>
      <c r="J149" s="7" t="inlineStr"/>
      <c r="K149" s="7" t="inlineStr">
        <is>
          <t>T-0512</t>
        </is>
      </c>
      <c r="L149" s="7" t="inlineStr"/>
      <c r="M149" s="7" t="inlineStr">
        <is>
          <t>Planned</t>
        </is>
      </c>
      <c r="N149" s="7" t="inlineStr"/>
    </row>
    <row r="150">
      <c r="A150" s="7" t="inlineStr">
        <is>
          <t>Task</t>
        </is>
      </c>
      <c r="B150" s="7" t="inlineStr">
        <is>
          <t>T-0517</t>
        </is>
      </c>
      <c r="C150" s="7" t="inlineStr">
        <is>
          <t>ST-0503</t>
        </is>
      </c>
      <c r="D150" s="7" t="inlineStr">
        <is>
          <t>E08</t>
        </is>
      </c>
      <c r="E150" s="7" t="inlineStr">
        <is>
          <t>Model-2 implementation doc: generate (IDG) + review + approve</t>
        </is>
      </c>
      <c r="F150" s="7" t="inlineStr">
        <is>
          <t>SAS2</t>
        </is>
      </c>
      <c r="G150" s="7" t="inlineStr">
        <is>
          <t>S8</t>
        </is>
      </c>
      <c r="H150" s="7" t="n">
        <v>0.5</v>
      </c>
      <c r="I150" s="7" t="inlineStr"/>
      <c r="J150" s="7" t="inlineStr"/>
      <c r="K150" s="7" t="inlineStr">
        <is>
          <t>T-1405</t>
        </is>
      </c>
      <c r="L150" s="7" t="inlineStr"/>
      <c r="M150" s="7" t="inlineStr">
        <is>
          <t>Planned</t>
        </is>
      </c>
      <c r="N150" s="7" t="inlineStr">
        <is>
          <t>ADR-0012</t>
        </is>
      </c>
    </row>
    <row r="151">
      <c r="A151" s="5" t="inlineStr">
        <is>
          <t>EPIC</t>
        </is>
      </c>
      <c r="B151" s="5" t="inlineStr">
        <is>
          <t>E09</t>
        </is>
      </c>
      <c r="C151" s="5" t="inlineStr"/>
      <c r="D151" s="5" t="inlineStr">
        <is>
          <t>E09</t>
        </is>
      </c>
      <c r="E151" s="5" t="inlineStr">
        <is>
          <t>Observability, Dashboards &amp; Delivery - Run-status dashboards, alerting, DQ/drift panels, cost dashboard, automated signed output delivery.</t>
        </is>
      </c>
      <c r="F151" s="5" t="inlineStr">
        <is>
          <t>DevOps</t>
        </is>
      </c>
      <c r="G151" s="5" t="inlineStr">
        <is>
          <t>S4-S9</t>
        </is>
      </c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</row>
    <row r="152">
      <c r="A152" s="6" t="inlineStr">
        <is>
          <t>Story</t>
        </is>
      </c>
      <c r="B152" s="6" t="inlineStr">
        <is>
          <t>ST-0901</t>
        </is>
      </c>
      <c r="C152" s="6" t="inlineStr">
        <is>
          <t>E09</t>
        </is>
      </c>
      <c r="D152" s="6" t="inlineStr">
        <is>
          <t>E09</t>
        </is>
      </c>
      <c r="E152" s="6" t="inlineStr">
        <is>
          <t>Dashboard tooling &amp; build</t>
        </is>
      </c>
      <c r="F152" s="6" t="inlineStr"/>
      <c r="G152" s="6" t="inlineStr">
        <is>
          <t>S4-S6</t>
        </is>
      </c>
      <c r="H152" s="6" t="n">
        <v>4.5</v>
      </c>
      <c r="I152" s="6" t="n">
        <v>5</v>
      </c>
      <c r="J152" s="6" t="inlineStr">
        <is>
          <t>Must</t>
        </is>
      </c>
      <c r="K152" s="6" t="inlineStr"/>
      <c r="L152" s="6" t="inlineStr"/>
      <c r="M152" s="6" t="inlineStr"/>
      <c r="N152" s="6" t="inlineStr">
        <is>
          <t>D08 decided; run-status dashboard live for G1 runs.</t>
        </is>
      </c>
    </row>
    <row r="153">
      <c r="A153" s="7" t="inlineStr">
        <is>
          <t>Task</t>
        </is>
      </c>
      <c r="B153" s="7" t="inlineStr">
        <is>
          <t>T-0901</t>
        </is>
      </c>
      <c r="C153" s="7" t="inlineStr">
        <is>
          <t>ST-0901</t>
        </is>
      </c>
      <c r="D153" s="7" t="inlineStr">
        <is>
          <t>E09</t>
        </is>
      </c>
      <c r="E153" s="7" t="inlineStr">
        <is>
          <t>D08 tooling decision: CloudWatch / Grafana / QuickSight</t>
        </is>
      </c>
      <c r="F153" s="7" t="inlineStr">
        <is>
          <t>DevOps</t>
        </is>
      </c>
      <c r="G153" s="7" t="inlineStr">
        <is>
          <t>S4</t>
        </is>
      </c>
      <c r="H153" s="7" t="n">
        <v>1.5</v>
      </c>
      <c r="I153" s="7" t="inlineStr"/>
      <c r="J153" s="7" t="inlineStr"/>
      <c r="K153" s="7" t="inlineStr"/>
      <c r="L153" s="7" t="inlineStr"/>
      <c r="M153" s="7" t="inlineStr">
        <is>
          <t>Planned</t>
        </is>
      </c>
      <c r="N153" s="7" t="inlineStr"/>
    </row>
    <row r="154">
      <c r="A154" s="7" t="inlineStr">
        <is>
          <t>Task</t>
        </is>
      </c>
      <c r="B154" s="7" t="inlineStr">
        <is>
          <t>T-0902</t>
        </is>
      </c>
      <c r="C154" s="7" t="inlineStr">
        <is>
          <t>ST-0901</t>
        </is>
      </c>
      <c r="D154" s="7" t="inlineStr">
        <is>
          <t>E09</t>
        </is>
      </c>
      <c r="E154" s="7" t="inlineStr">
        <is>
          <t>Run-status dashboard build (runs, exceptions, durations)</t>
        </is>
      </c>
      <c r="F154" s="7" t="inlineStr">
        <is>
          <t>DevOps</t>
        </is>
      </c>
      <c r="G154" s="7" t="inlineStr">
        <is>
          <t>S6</t>
        </is>
      </c>
      <c r="H154" s="7" t="n">
        <v>3</v>
      </c>
      <c r="I154" s="7" t="inlineStr"/>
      <c r="J154" s="7" t="inlineStr"/>
      <c r="K154" s="7" t="inlineStr">
        <is>
          <t>T-0901</t>
        </is>
      </c>
      <c r="L154" s="7" t="inlineStr"/>
      <c r="M154" s="7" t="inlineStr">
        <is>
          <t>Planned</t>
        </is>
      </c>
      <c r="N154" s="7" t="inlineStr"/>
    </row>
    <row r="155">
      <c r="A155" s="6" t="inlineStr">
        <is>
          <t>Story</t>
        </is>
      </c>
      <c r="B155" s="6" t="inlineStr">
        <is>
          <t>ST-0902</t>
        </is>
      </c>
      <c r="C155" s="6" t="inlineStr">
        <is>
          <t>E09</t>
        </is>
      </c>
      <c r="D155" s="6" t="inlineStr">
        <is>
          <t>E09</t>
        </is>
      </c>
      <c r="E155" s="6" t="inlineStr">
        <is>
          <t>Alerting &amp; notifications</t>
        </is>
      </c>
      <c r="F155" s="6" t="inlineStr"/>
      <c r="G155" s="6" t="inlineStr">
        <is>
          <t>S5-S9</t>
        </is>
      </c>
      <c r="H155" s="6" t="n">
        <v>3</v>
      </c>
      <c r="I155" s="6" t="n">
        <v>3</v>
      </c>
      <c r="J155" s="6" t="inlineStr">
        <is>
          <t>Must</t>
        </is>
      </c>
      <c r="K155" s="6" t="inlineStr"/>
      <c r="L155" s="6" t="inlineStr"/>
      <c r="M155" s="6" t="inlineStr"/>
      <c r="N155" s="6" t="inlineStr">
        <is>
          <t>Failure alerts routed; ABSA SPOC notification path tested.</t>
        </is>
      </c>
    </row>
    <row r="156">
      <c r="A156" s="7" t="inlineStr">
        <is>
          <t>Task</t>
        </is>
      </c>
      <c r="B156" s="7" t="inlineStr">
        <is>
          <t>T-0903</t>
        </is>
      </c>
      <c r="C156" s="7" t="inlineStr">
        <is>
          <t>ST-0902</t>
        </is>
      </c>
      <c r="D156" s="7" t="inlineStr">
        <is>
          <t>E09</t>
        </is>
      </c>
      <c r="E156" s="7" t="inlineStr">
        <is>
          <t>Alert routing: SNS -&gt; email/Slack; severity mapping</t>
        </is>
      </c>
      <c r="F156" s="7" t="inlineStr">
        <is>
          <t>DevOps</t>
        </is>
      </c>
      <c r="G156" s="7" t="inlineStr">
        <is>
          <t>S5</t>
        </is>
      </c>
      <c r="H156" s="7" t="n">
        <v>2</v>
      </c>
      <c r="I156" s="7" t="inlineStr"/>
      <c r="J156" s="7" t="inlineStr"/>
      <c r="K156" s="7" t="inlineStr">
        <is>
          <t>T-0901</t>
        </is>
      </c>
      <c r="L156" s="7" t="inlineStr"/>
      <c r="M156" s="7" t="inlineStr">
        <is>
          <t>Planned</t>
        </is>
      </c>
      <c r="N156" s="7" t="inlineStr"/>
    </row>
    <row r="157">
      <c r="A157" s="7" t="inlineStr">
        <is>
          <t>Task</t>
        </is>
      </c>
      <c r="B157" s="7" t="inlineStr">
        <is>
          <t>T-0904</t>
        </is>
      </c>
      <c r="C157" s="7" t="inlineStr">
        <is>
          <t>ST-0902</t>
        </is>
      </c>
      <c r="D157" s="7" t="inlineStr">
        <is>
          <t>E09</t>
        </is>
      </c>
      <c r="E157" s="7" t="inlineStr">
        <is>
          <t>Failure notifications to ABSA SPOC path tested</t>
        </is>
      </c>
      <c r="F157" s="7" t="inlineStr">
        <is>
          <t>DevOps</t>
        </is>
      </c>
      <c r="G157" s="7" t="inlineStr">
        <is>
          <t>S9</t>
        </is>
      </c>
      <c r="H157" s="7" t="n">
        <v>1</v>
      </c>
      <c r="I157" s="7" t="inlineStr"/>
      <c r="J157" s="7" t="inlineStr"/>
      <c r="K157" s="7" t="inlineStr">
        <is>
          <t>T-0903</t>
        </is>
      </c>
      <c r="L157" s="7" t="inlineStr"/>
      <c r="M157" s="7" t="inlineStr">
        <is>
          <t>Planned</t>
        </is>
      </c>
      <c r="N157" s="7" t="inlineStr"/>
    </row>
    <row r="158">
      <c r="A158" s="6" t="inlineStr">
        <is>
          <t>Story</t>
        </is>
      </c>
      <c r="B158" s="6" t="inlineStr">
        <is>
          <t>ST-0903</t>
        </is>
      </c>
      <c r="C158" s="6" t="inlineStr">
        <is>
          <t>E09</t>
        </is>
      </c>
      <c r="D158" s="6" t="inlineStr">
        <is>
          <t>E09</t>
        </is>
      </c>
      <c r="E158" s="6" t="inlineStr">
        <is>
          <t>DQ / drift panels</t>
        </is>
      </c>
      <c r="F158" s="6" t="inlineStr"/>
      <c r="G158" s="6" t="inlineStr">
        <is>
          <t>S8</t>
        </is>
      </c>
      <c r="H158" s="6" t="n">
        <v>2</v>
      </c>
      <c r="I158" s="6" t="n">
        <v>2</v>
      </c>
      <c r="J158" s="6" t="inlineStr">
        <is>
          <t>Should</t>
        </is>
      </c>
      <c r="K158" s="6" t="inlineStr"/>
      <c r="L158" s="6" t="inlineStr"/>
      <c r="M158" s="6" t="inlineStr"/>
      <c r="N158" s="6" t="inlineStr">
        <is>
          <t>DQ + drift panels visible alongside run status.</t>
        </is>
      </c>
    </row>
    <row r="159">
      <c r="A159" s="7" t="inlineStr">
        <is>
          <t>Task</t>
        </is>
      </c>
      <c r="B159" s="7" t="inlineStr">
        <is>
          <t>T-0905</t>
        </is>
      </c>
      <c r="C159" s="7" t="inlineStr">
        <is>
          <t>ST-0903</t>
        </is>
      </c>
      <c r="D159" s="7" t="inlineStr">
        <is>
          <t>E09</t>
        </is>
      </c>
      <c r="E159" s="7" t="inlineStr">
        <is>
          <t>DQ + drift panels alongside run status</t>
        </is>
      </c>
      <c r="F159" s="7" t="inlineStr">
        <is>
          <t>DE</t>
        </is>
      </c>
      <c r="G159" s="7" t="inlineStr">
        <is>
          <t>S8</t>
        </is>
      </c>
      <c r="H159" s="7" t="n">
        <v>2</v>
      </c>
      <c r="I159" s="7" t="inlineStr"/>
      <c r="J159" s="7" t="inlineStr"/>
      <c r="K159" s="7" t="inlineStr">
        <is>
          <t>T-0410,T-0902</t>
        </is>
      </c>
      <c r="L159" s="7" t="inlineStr"/>
      <c r="M159" s="7" t="inlineStr">
        <is>
          <t>Planned</t>
        </is>
      </c>
      <c r="N159" s="7" t="inlineStr"/>
    </row>
    <row r="160">
      <c r="A160" s="6" t="inlineStr">
        <is>
          <t>Story</t>
        </is>
      </c>
      <c r="B160" s="6" t="inlineStr">
        <is>
          <t>ST-0904</t>
        </is>
      </c>
      <c r="C160" s="6" t="inlineStr">
        <is>
          <t>E09</t>
        </is>
      </c>
      <c r="D160" s="6" t="inlineStr">
        <is>
          <t>E09</t>
        </is>
      </c>
      <c r="E160" s="6" t="inlineStr">
        <is>
          <t>Output delivery automation (D09)</t>
        </is>
      </c>
      <c r="F160" s="6" t="inlineStr"/>
      <c r="G160" s="6" t="inlineStr">
        <is>
          <t>S8-S9</t>
        </is>
      </c>
      <c r="H160" s="6" t="n">
        <v>4</v>
      </c>
      <c r="I160" s="6" t="n">
        <v>5</v>
      </c>
      <c r="J160" s="6" t="inlineStr">
        <is>
          <t>Must</t>
        </is>
      </c>
      <c r="K160" s="6" t="inlineStr"/>
      <c r="L160" s="6" t="inlineStr"/>
      <c r="M160" s="6" t="inlineStr"/>
      <c r="N160" s="6" t="inlineStr">
        <is>
          <t>Signed outputs auto-delivered to ABSA with confirmation evidence; validated with recipients.</t>
        </is>
      </c>
    </row>
    <row r="161">
      <c r="A161" s="7" t="inlineStr">
        <is>
          <t>Task</t>
        </is>
      </c>
      <c r="B161" s="7" t="inlineStr">
        <is>
          <t>T-0906</t>
        </is>
      </c>
      <c r="C161" s="7" t="inlineStr">
        <is>
          <t>ST-0904</t>
        </is>
      </c>
      <c r="D161" s="7" t="inlineStr">
        <is>
          <t>E09</t>
        </is>
      </c>
      <c r="E161" s="7" t="inlineStr">
        <is>
          <t>Automated signed output delivery to ABSA + confirmation evidence</t>
        </is>
      </c>
      <c r="F161" s="7" t="inlineStr">
        <is>
          <t>DevOps</t>
        </is>
      </c>
      <c r="G161" s="7" t="inlineStr">
        <is>
          <t>S8</t>
        </is>
      </c>
      <c r="H161" s="7" t="n">
        <v>2</v>
      </c>
      <c r="I161" s="7" t="inlineStr"/>
      <c r="J161" s="7" t="inlineStr"/>
      <c r="K161" s="7" t="inlineStr">
        <is>
          <t>T-0319</t>
        </is>
      </c>
      <c r="L161" s="8" t="inlineStr">
        <is>
          <t>ABSA: data movement</t>
        </is>
      </c>
      <c r="M161" s="7" t="inlineStr">
        <is>
          <t>Planned</t>
        </is>
      </c>
      <c r="N161" s="7" t="inlineStr"/>
    </row>
    <row r="162">
      <c r="A162" s="7" t="inlineStr">
        <is>
          <t>Task</t>
        </is>
      </c>
      <c r="B162" s="7" t="inlineStr">
        <is>
          <t>T-0907</t>
        </is>
      </c>
      <c r="C162" s="7" t="inlineStr">
        <is>
          <t>ST-0904</t>
        </is>
      </c>
      <c r="D162" s="7" t="inlineStr">
        <is>
          <t>E09</t>
        </is>
      </c>
      <c r="E162" s="7" t="inlineStr">
        <is>
          <t>Delivery validation with ABSA recipients</t>
        </is>
      </c>
      <c r="F162" s="7" t="inlineStr">
        <is>
          <t>DevOps</t>
        </is>
      </c>
      <c r="G162" s="7" t="inlineStr">
        <is>
          <t>S9</t>
        </is>
      </c>
      <c r="H162" s="7" t="n">
        <v>1</v>
      </c>
      <c r="I162" s="7" t="inlineStr"/>
      <c r="J162" s="7" t="inlineStr"/>
      <c r="K162" s="7" t="inlineStr">
        <is>
          <t>T-0906</t>
        </is>
      </c>
      <c r="L162" s="7" t="inlineStr"/>
      <c r="M162" s="7" t="inlineStr">
        <is>
          <t>Planned</t>
        </is>
      </c>
      <c r="N162" s="7" t="inlineStr"/>
    </row>
    <row r="163">
      <c r="A163" s="7" t="inlineStr">
        <is>
          <t>Task</t>
        </is>
      </c>
      <c r="B163" s="7" t="inlineStr">
        <is>
          <t>T-0908</t>
        </is>
      </c>
      <c r="C163" s="7" t="inlineStr">
        <is>
          <t>ST-0904</t>
        </is>
      </c>
      <c r="D163" s="7" t="inlineStr">
        <is>
          <t>E09</t>
        </is>
      </c>
      <c r="E163" s="7" t="inlineStr">
        <is>
          <t>Dashboard access + validation with ABSA recipients</t>
        </is>
      </c>
      <c r="F163" s="7" t="inlineStr">
        <is>
          <t>DevOps</t>
        </is>
      </c>
      <c r="G163" s="7" t="inlineStr">
        <is>
          <t>S9</t>
        </is>
      </c>
      <c r="H163" s="7" t="n">
        <v>1</v>
      </c>
      <c r="I163" s="7" t="inlineStr"/>
      <c r="J163" s="7" t="inlineStr"/>
      <c r="K163" s="7" t="inlineStr">
        <is>
          <t>T-0902</t>
        </is>
      </c>
      <c r="L163" s="7" t="inlineStr"/>
      <c r="M163" s="7" t="inlineStr">
        <is>
          <t>Planned</t>
        </is>
      </c>
      <c r="N163" s="7" t="inlineStr"/>
    </row>
    <row r="164">
      <c r="A164" s="6" t="inlineStr">
        <is>
          <t>Story</t>
        </is>
      </c>
      <c r="B164" s="6" t="inlineStr">
        <is>
          <t>ST-0905</t>
        </is>
      </c>
      <c r="C164" s="6" t="inlineStr">
        <is>
          <t>E09</t>
        </is>
      </c>
      <c r="D164" s="6" t="inlineStr">
        <is>
          <t>E09</t>
        </is>
      </c>
      <c r="E164" s="6" t="inlineStr">
        <is>
          <t>Operational monitoring depth</t>
        </is>
      </c>
      <c r="F164" s="6" t="inlineStr"/>
      <c r="G164" s="6" t="inlineStr">
        <is>
          <t>S6-S9</t>
        </is>
      </c>
      <c r="H164" s="6" t="n">
        <v>2</v>
      </c>
      <c r="I164" s="6" t="n">
        <v>2</v>
      </c>
      <c r="J164" s="6" t="inlineStr">
        <is>
          <t>Should</t>
        </is>
      </c>
      <c r="K164" s="6" t="inlineStr"/>
      <c r="L164" s="6" t="inlineStr"/>
      <c r="M164" s="6" t="inlineStr"/>
      <c r="N164" s="6" t="inlineStr">
        <is>
          <t>Per-pipeline alarms baseline; cost &amp; usage dashboard.</t>
        </is>
      </c>
    </row>
    <row r="165">
      <c r="A165" s="7" t="inlineStr">
        <is>
          <t>Task</t>
        </is>
      </c>
      <c r="B165" s="7" t="inlineStr">
        <is>
          <t>T-0909</t>
        </is>
      </c>
      <c r="C165" s="7" t="inlineStr">
        <is>
          <t>ST-0905</t>
        </is>
      </c>
      <c r="D165" s="7" t="inlineStr">
        <is>
          <t>E09</t>
        </is>
      </c>
      <c r="E165" s="7" t="inlineStr">
        <is>
          <t>Per-pipeline CloudWatch alarms + dashboard baseline</t>
        </is>
      </c>
      <c r="F165" s="7" t="inlineStr">
        <is>
          <t>DevOps</t>
        </is>
      </c>
      <c r="G165" s="7" t="inlineStr">
        <is>
          <t>S6</t>
        </is>
      </c>
      <c r="H165" s="7" t="n">
        <v>1</v>
      </c>
      <c r="I165" s="7" t="inlineStr"/>
      <c r="J165" s="7" t="inlineStr"/>
      <c r="K165" s="7" t="inlineStr">
        <is>
          <t>T-0901</t>
        </is>
      </c>
      <c r="L165" s="7" t="inlineStr"/>
      <c r="M165" s="7" t="inlineStr">
        <is>
          <t>Planned</t>
        </is>
      </c>
      <c r="N165" s="7" t="inlineStr"/>
    </row>
    <row r="166">
      <c r="A166" s="7" t="inlineStr">
        <is>
          <t>Task</t>
        </is>
      </c>
      <c r="B166" s="7" t="inlineStr">
        <is>
          <t>T-0910</t>
        </is>
      </c>
      <c r="C166" s="7" t="inlineStr">
        <is>
          <t>ST-0905</t>
        </is>
      </c>
      <c r="D166" s="7" t="inlineStr">
        <is>
          <t>E09</t>
        </is>
      </c>
      <c r="E166" s="7" t="inlineStr">
        <is>
          <t>Cost &amp; usage dashboard</t>
        </is>
      </c>
      <c r="F166" s="7" t="inlineStr">
        <is>
          <t>DevOps</t>
        </is>
      </c>
      <c r="G166" s="7" t="inlineStr">
        <is>
          <t>S9</t>
        </is>
      </c>
      <c r="H166" s="7" t="n">
        <v>1</v>
      </c>
      <c r="I166" s="7" t="inlineStr"/>
      <c r="J166" s="7" t="inlineStr"/>
      <c r="K166" s="7" t="inlineStr">
        <is>
          <t>T-0901</t>
        </is>
      </c>
      <c r="L166" s="7" t="inlineStr"/>
      <c r="M166" s="7" t="inlineStr">
        <is>
          <t>Planned</t>
        </is>
      </c>
      <c r="N166" s="7" t="inlineStr"/>
    </row>
    <row r="167">
      <c r="A167" s="5" t="inlineStr">
        <is>
          <t>EPIC</t>
        </is>
      </c>
      <c r="B167" s="5" t="inlineStr">
        <is>
          <t>E10</t>
        </is>
      </c>
      <c r="C167" s="5" t="inlineStr"/>
      <c r="D167" s="5" t="inlineStr">
        <is>
          <t>E10</t>
        </is>
      </c>
      <c r="E167" s="5" t="inlineStr">
        <is>
          <t>Group 2 - Scale-Out (Models 3-10) - Template-driven onboarding across 3 SAS devs: 3 models/sprint in S9-S10, 2 in S11. ALL 10 models scoring by end S11; S12 is hardening + sign-off only (no new model onboarding).</t>
        </is>
      </c>
      <c r="F167" s="5" t="inlineStr">
        <is>
          <t>SAS x3</t>
        </is>
      </c>
      <c r="G167" s="5" t="inlineStr">
        <is>
          <t>S8-S11</t>
        </is>
      </c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</row>
    <row r="168">
      <c r="A168" s="6" t="inlineStr">
        <is>
          <t>Story</t>
        </is>
      </c>
      <c r="B168" s="6" t="inlineStr">
        <is>
          <t>ST-0801</t>
        </is>
      </c>
      <c r="C168" s="6" t="inlineStr">
        <is>
          <t>E10</t>
        </is>
      </c>
      <c r="D168" s="6" t="inlineStr">
        <is>
          <t>E10</t>
        </is>
      </c>
      <c r="E168" s="6" t="inlineStr">
        <is>
          <t>Dress rehearsal (full chain)</t>
        </is>
      </c>
      <c r="F168" s="6" t="inlineStr"/>
      <c r="G168" s="6" t="inlineStr">
        <is>
          <t>S6</t>
        </is>
      </c>
      <c r="H168" s="6" t="n">
        <v>7</v>
      </c>
      <c r="I168" s="6" t="n">
        <v>8</v>
      </c>
      <c r="J168" s="6" t="inlineStr">
        <is>
          <t>Must</t>
        </is>
      </c>
      <c r="K168" s="6" t="inlineStr"/>
      <c r="L168" s="6" t="inlineStr"/>
      <c r="M168" s="6" t="inlineStr"/>
      <c r="N168" s="6" t="inlineStr">
        <is>
          <t>Producer + verifier chain on real AWS for models 1-2; transcript archived; defects logged.</t>
        </is>
      </c>
    </row>
    <row r="169">
      <c r="A169" s="7" t="inlineStr">
        <is>
          <t>Task</t>
        </is>
      </c>
      <c r="B169" s="7" t="inlineStr">
        <is>
          <t>T-0801</t>
        </is>
      </c>
      <c r="C169" s="7" t="inlineStr">
        <is>
          <t>ST-0801</t>
        </is>
      </c>
      <c r="D169" s="7" t="inlineStr">
        <is>
          <t>E10</t>
        </is>
      </c>
      <c r="E169" s="7" t="inlineStr">
        <is>
          <t>Dress rehearsal orchestration: full chain on real AWS, models 1-2</t>
        </is>
      </c>
      <c r="F169" s="7" t="inlineStr">
        <is>
          <t>TL</t>
        </is>
      </c>
      <c r="G169" s="7" t="inlineStr">
        <is>
          <t>S6</t>
        </is>
      </c>
      <c r="H169" s="7" t="n">
        <v>2</v>
      </c>
      <c r="I169" s="7" t="inlineStr"/>
      <c r="J169" s="7" t="inlineStr"/>
      <c r="K169" s="7" t="inlineStr">
        <is>
          <t>T-0513,T-0602,T-0317</t>
        </is>
      </c>
      <c r="L169" s="7" t="inlineStr"/>
      <c r="M169" s="7" t="inlineStr">
        <is>
          <t>Planned</t>
        </is>
      </c>
      <c r="N169" s="7" t="inlineStr">
        <is>
          <t>Producer + verifier, archived transcript</t>
        </is>
      </c>
    </row>
    <row r="170">
      <c r="A170" s="7" t="inlineStr">
        <is>
          <t>Task</t>
        </is>
      </c>
      <c r="B170" s="7" t="inlineStr">
        <is>
          <t>T-0802</t>
        </is>
      </c>
      <c r="C170" s="7" t="inlineStr">
        <is>
          <t>ST-0801</t>
        </is>
      </c>
      <c r="D170" s="7" t="inlineStr">
        <is>
          <t>E10</t>
        </is>
      </c>
      <c r="E170" s="7" t="inlineStr">
        <is>
          <t>Dress rehearsal infra support + fixes</t>
        </is>
      </c>
      <c r="F170" s="7" t="inlineStr">
        <is>
          <t>AWS</t>
        </is>
      </c>
      <c r="G170" s="7" t="inlineStr">
        <is>
          <t>S6</t>
        </is>
      </c>
      <c r="H170" s="7" t="n">
        <v>2</v>
      </c>
      <c r="I170" s="7" t="inlineStr"/>
      <c r="J170" s="7" t="inlineStr"/>
      <c r="K170" s="7" t="inlineStr">
        <is>
          <t>T-0801</t>
        </is>
      </c>
      <c r="L170" s="7" t="inlineStr"/>
      <c r="M170" s="7" t="inlineStr">
        <is>
          <t>Planned</t>
        </is>
      </c>
      <c r="N170" s="7" t="inlineStr"/>
    </row>
    <row r="171">
      <c r="A171" s="7" t="inlineStr">
        <is>
          <t>Task</t>
        </is>
      </c>
      <c r="B171" s="7" t="inlineStr">
        <is>
          <t>T-0803</t>
        </is>
      </c>
      <c r="C171" s="7" t="inlineStr">
        <is>
          <t>ST-0801</t>
        </is>
      </c>
      <c r="D171" s="7" t="inlineStr">
        <is>
          <t>E10</t>
        </is>
      </c>
      <c r="E171" s="7" t="inlineStr">
        <is>
          <t>Dress rehearsal model runs + output checks</t>
        </is>
      </c>
      <c r="F171" s="7" t="inlineStr">
        <is>
          <t>SAS</t>
        </is>
      </c>
      <c r="G171" s="7" t="inlineStr">
        <is>
          <t>S6</t>
        </is>
      </c>
      <c r="H171" s="7" t="n">
        <v>2</v>
      </c>
      <c r="I171" s="7" t="inlineStr"/>
      <c r="J171" s="7" t="inlineStr"/>
      <c r="K171" s="7" t="inlineStr">
        <is>
          <t>T-0801</t>
        </is>
      </c>
      <c r="L171" s="7" t="inlineStr"/>
      <c r="M171" s="7" t="inlineStr">
        <is>
          <t>Planned</t>
        </is>
      </c>
      <c r="N171" s="7" t="inlineStr"/>
    </row>
    <row r="172">
      <c r="A172" s="7" t="inlineStr">
        <is>
          <t>Task</t>
        </is>
      </c>
      <c r="B172" s="7" t="inlineStr">
        <is>
          <t>T-0804</t>
        </is>
      </c>
      <c r="C172" s="7" t="inlineStr">
        <is>
          <t>ST-0801</t>
        </is>
      </c>
      <c r="D172" s="7" t="inlineStr">
        <is>
          <t>E10</t>
        </is>
      </c>
      <c r="E172" s="7" t="inlineStr">
        <is>
          <t>Dress rehearsal CI/pipeline ops</t>
        </is>
      </c>
      <c r="F172" s="7" t="inlineStr">
        <is>
          <t>DevOps</t>
        </is>
      </c>
      <c r="G172" s="7" t="inlineStr">
        <is>
          <t>S6</t>
        </is>
      </c>
      <c r="H172" s="7" t="n">
        <v>1</v>
      </c>
      <c r="I172" s="7" t="inlineStr"/>
      <c r="J172" s="7" t="inlineStr"/>
      <c r="K172" s="7" t="inlineStr">
        <is>
          <t>T-0801</t>
        </is>
      </c>
      <c r="L172" s="7" t="inlineStr"/>
      <c r="M172" s="7" t="inlineStr">
        <is>
          <t>Planned</t>
        </is>
      </c>
      <c r="N172" s="7" t="inlineStr"/>
    </row>
    <row r="173">
      <c r="A173" s="6" t="inlineStr">
        <is>
          <t>Story</t>
        </is>
      </c>
      <c r="B173" s="6" t="inlineStr">
        <is>
          <t>ST-0802</t>
        </is>
      </c>
      <c r="C173" s="6" t="inlineStr">
        <is>
          <t>E10</t>
        </is>
      </c>
      <c r="D173" s="6" t="inlineStr">
        <is>
          <t>E10</t>
        </is>
      </c>
      <c r="E173" s="6" t="inlineStr">
        <is>
          <t>Group 1 production scoring</t>
        </is>
      </c>
      <c r="F173" s="6" t="inlineStr"/>
      <c r="G173" s="6" t="inlineStr">
        <is>
          <t>S7</t>
        </is>
      </c>
      <c r="H173" s="6" t="n">
        <v>3</v>
      </c>
      <c r="I173" s="6" t="n">
        <v>3</v>
      </c>
      <c r="J173" s="6" t="inlineStr">
        <is>
          <t>Must</t>
        </is>
      </c>
      <c r="K173" s="6" t="inlineStr"/>
      <c r="L173" s="6" t="inlineStr"/>
      <c r="M173" s="6" t="inlineStr"/>
      <c r="N173" s="6" t="inlineStr">
        <is>
          <t>Initial scheduled runs in prod; outputs delivered; DQ green.</t>
        </is>
      </c>
    </row>
    <row r="174">
      <c r="A174" s="7" t="inlineStr">
        <is>
          <t>Task</t>
        </is>
      </c>
      <c r="B174" s="7" t="inlineStr">
        <is>
          <t>T-0805</t>
        </is>
      </c>
      <c r="C174" s="7" t="inlineStr">
        <is>
          <t>ST-0802</t>
        </is>
      </c>
      <c r="D174" s="7" t="inlineStr">
        <is>
          <t>E10</t>
        </is>
      </c>
      <c r="E174" s="7" t="inlineStr">
        <is>
          <t>Initial production scoring runs (models 1-2)</t>
        </is>
      </c>
      <c r="F174" s="7" t="inlineStr">
        <is>
          <t>AWS2</t>
        </is>
      </c>
      <c r="G174" s="7" t="inlineStr">
        <is>
          <t>S7</t>
        </is>
      </c>
      <c r="H174" s="7" t="n">
        <v>2</v>
      </c>
      <c r="I174" s="7" t="inlineStr"/>
      <c r="J174" s="7" t="inlineStr"/>
      <c r="K174" s="7" t="inlineStr">
        <is>
          <t>T-0801</t>
        </is>
      </c>
      <c r="L174" s="7" t="inlineStr"/>
      <c r="M174" s="7" t="inlineStr">
        <is>
          <t>Planned</t>
        </is>
      </c>
      <c r="N174" s="7" t="inlineStr"/>
    </row>
    <row r="175">
      <c r="A175" s="7" t="inlineStr">
        <is>
          <t>Task</t>
        </is>
      </c>
      <c r="B175" s="7" t="inlineStr">
        <is>
          <t>T-0806</t>
        </is>
      </c>
      <c r="C175" s="7" t="inlineStr">
        <is>
          <t>ST-0802</t>
        </is>
      </c>
      <c r="D175" s="7" t="inlineStr">
        <is>
          <t>E10</t>
        </is>
      </c>
      <c r="E175" s="7" t="inlineStr">
        <is>
          <t>Production run monitoring + incident handling</t>
        </is>
      </c>
      <c r="F175" s="7" t="inlineStr">
        <is>
          <t>DevOps</t>
        </is>
      </c>
      <c r="G175" s="7" t="inlineStr">
        <is>
          <t>S7</t>
        </is>
      </c>
      <c r="H175" s="7" t="n">
        <v>1</v>
      </c>
      <c r="I175" s="7" t="inlineStr"/>
      <c r="J175" s="7" t="inlineStr"/>
      <c r="K175" s="7" t="inlineStr">
        <is>
          <t>T-0805</t>
        </is>
      </c>
      <c r="L175" s="7" t="inlineStr"/>
      <c r="M175" s="7" t="inlineStr">
        <is>
          <t>Planned</t>
        </is>
      </c>
      <c r="N175" s="7" t="inlineStr"/>
    </row>
    <row r="176">
      <c r="A176" s="6" t="inlineStr">
        <is>
          <t>Story</t>
        </is>
      </c>
      <c r="B176" s="6" t="inlineStr">
        <is>
          <t>ST-0803</t>
        </is>
      </c>
      <c r="C176" s="6" t="inlineStr">
        <is>
          <t>E10</t>
        </is>
      </c>
      <c r="D176" s="6" t="inlineStr">
        <is>
          <t>E10</t>
        </is>
      </c>
      <c r="E176" s="6" t="inlineStr">
        <is>
          <t>Reconciliation &amp; defect cycle</t>
        </is>
      </c>
      <c r="F176" s="6" t="inlineStr"/>
      <c r="G176" s="6" t="inlineStr">
        <is>
          <t>S7-S8</t>
        </is>
      </c>
      <c r="H176" s="6" t="n">
        <v>9</v>
      </c>
      <c r="I176" s="6" t="n">
        <v>13</v>
      </c>
      <c r="J176" s="6" t="inlineStr">
        <is>
          <t>Must</t>
        </is>
      </c>
      <c r="K176" s="6" t="inlineStr"/>
      <c r="L176" s="6" t="inlineStr"/>
      <c r="M176" s="6" t="inlineStr"/>
      <c r="N176" s="6" t="inlineStr">
        <is>
          <t>Outputs reconcile within tolerance; defects closed and re-run.</t>
        </is>
      </c>
    </row>
    <row r="177">
      <c r="A177" s="7" t="inlineStr">
        <is>
          <t>Task</t>
        </is>
      </c>
      <c r="B177" s="7" t="inlineStr">
        <is>
          <t>T-0807</t>
        </is>
      </c>
      <c r="C177" s="7" t="inlineStr">
        <is>
          <t>ST-0803</t>
        </is>
      </c>
      <c r="D177" s="7" t="inlineStr">
        <is>
          <t>E10</t>
        </is>
      </c>
      <c r="E177" s="7" t="inlineStr">
        <is>
          <t>Reconcile G1 outputs vs benchmarks (tolerance report)</t>
        </is>
      </c>
      <c r="F177" s="7" t="inlineStr">
        <is>
          <t>SAS</t>
        </is>
      </c>
      <c r="G177" s="7" t="inlineStr">
        <is>
          <t>S7</t>
        </is>
      </c>
      <c r="H177" s="7" t="n">
        <v>3</v>
      </c>
      <c r="I177" s="7" t="inlineStr"/>
      <c r="J177" s="7" t="inlineStr"/>
      <c r="K177" s="7" t="inlineStr">
        <is>
          <t>T-0805,T-0514</t>
        </is>
      </c>
      <c r="L177" s="7" t="inlineStr"/>
      <c r="M177" s="7" t="inlineStr">
        <is>
          <t>Planned</t>
        </is>
      </c>
      <c r="N177" s="7" t="inlineStr"/>
    </row>
    <row r="178">
      <c r="A178" s="7" t="inlineStr">
        <is>
          <t>Task</t>
        </is>
      </c>
      <c r="B178" s="7" t="inlineStr">
        <is>
          <t>T-0808</t>
        </is>
      </c>
      <c r="C178" s="7" t="inlineStr">
        <is>
          <t>ST-0803</t>
        </is>
      </c>
      <c r="D178" s="7" t="inlineStr">
        <is>
          <t>E10</t>
        </is>
      </c>
      <c r="E178" s="7" t="inlineStr">
        <is>
          <t>Defect triage + fix cycle</t>
        </is>
      </c>
      <c r="F178" s="7" t="inlineStr">
        <is>
          <t>SAS2</t>
        </is>
      </c>
      <c r="G178" s="7" t="inlineStr">
        <is>
          <t>S7</t>
        </is>
      </c>
      <c r="H178" s="7" t="n">
        <v>3</v>
      </c>
      <c r="I178" s="7" t="inlineStr"/>
      <c r="J178" s="7" t="inlineStr"/>
      <c r="K178" s="7" t="inlineStr">
        <is>
          <t>T-0807</t>
        </is>
      </c>
      <c r="L178" s="7" t="inlineStr"/>
      <c r="M178" s="7" t="inlineStr">
        <is>
          <t>Planned</t>
        </is>
      </c>
      <c r="N178" s="7" t="inlineStr"/>
    </row>
    <row r="179">
      <c r="A179" s="7" t="inlineStr">
        <is>
          <t>Task</t>
        </is>
      </c>
      <c r="B179" s="7" t="inlineStr">
        <is>
          <t>T-0809</t>
        </is>
      </c>
      <c r="C179" s="7" t="inlineStr">
        <is>
          <t>ST-0803</t>
        </is>
      </c>
      <c r="D179" s="7" t="inlineStr">
        <is>
          <t>E10</t>
        </is>
      </c>
      <c r="E179" s="7" t="inlineStr">
        <is>
          <t>Defect triage facilitation + ABSA comms</t>
        </is>
      </c>
      <c r="F179" s="7" t="inlineStr">
        <is>
          <t>TL</t>
        </is>
      </c>
      <c r="G179" s="7" t="inlineStr">
        <is>
          <t>S7</t>
        </is>
      </c>
      <c r="H179" s="7" t="n">
        <v>1</v>
      </c>
      <c r="I179" s="7" t="inlineStr"/>
      <c r="J179" s="7" t="inlineStr"/>
      <c r="K179" s="7" t="inlineStr">
        <is>
          <t>T-0807</t>
        </is>
      </c>
      <c r="L179" s="7" t="inlineStr"/>
      <c r="M179" s="7" t="inlineStr">
        <is>
          <t>Planned</t>
        </is>
      </c>
      <c r="N179" s="7" t="inlineStr"/>
    </row>
    <row r="180">
      <c r="A180" s="7" t="inlineStr">
        <is>
          <t>Task</t>
        </is>
      </c>
      <c r="B180" s="7" t="inlineStr">
        <is>
          <t>T-0810</t>
        </is>
      </c>
      <c r="C180" s="7" t="inlineStr">
        <is>
          <t>ST-0803</t>
        </is>
      </c>
      <c r="D180" s="7" t="inlineStr">
        <is>
          <t>E10</t>
        </is>
      </c>
      <c r="E180" s="7" t="inlineStr">
        <is>
          <t>Defect closure + re-run + final reconciliation</t>
        </is>
      </c>
      <c r="F180" s="7" t="inlineStr">
        <is>
          <t>SAS</t>
        </is>
      </c>
      <c r="G180" s="7" t="inlineStr">
        <is>
          <t>S8</t>
        </is>
      </c>
      <c r="H180" s="7" t="n">
        <v>2</v>
      </c>
      <c r="I180" s="7" t="inlineStr"/>
      <c r="J180" s="7" t="inlineStr"/>
      <c r="K180" s="7" t="inlineStr">
        <is>
          <t>T-0808</t>
        </is>
      </c>
      <c r="L180" s="7" t="inlineStr"/>
      <c r="M180" s="7" t="inlineStr">
        <is>
          <t>Planned</t>
        </is>
      </c>
      <c r="N180" s="7" t="inlineStr"/>
    </row>
    <row r="181">
      <c r="A181" s="6" t="inlineStr">
        <is>
          <t>Story</t>
        </is>
      </c>
      <c r="B181" s="6" t="inlineStr">
        <is>
          <t>ST-0804</t>
        </is>
      </c>
      <c r="C181" s="6" t="inlineStr">
        <is>
          <t>E10</t>
        </is>
      </c>
      <c r="D181" s="6" t="inlineStr">
        <is>
          <t>E10</t>
        </is>
      </c>
      <c r="E181" s="6" t="inlineStr">
        <is>
          <t>PIR &amp; ABSA sign-off</t>
        </is>
      </c>
      <c r="F181" s="6" t="inlineStr"/>
      <c r="G181" s="6" t="inlineStr">
        <is>
          <t>S8</t>
        </is>
      </c>
      <c r="H181" s="6" t="n">
        <v>5.5</v>
      </c>
      <c r="I181" s="6" t="n">
        <v>8</v>
      </c>
      <c r="J181" s="6" t="inlineStr">
        <is>
          <t>Must</t>
        </is>
      </c>
      <c r="K181" s="6" t="inlineStr"/>
      <c r="L181" s="6" t="inlineStr"/>
      <c r="M181" s="6" t="inlineStr"/>
      <c r="N181" s="6" t="inlineStr">
        <is>
          <t>PIR evidence pack submitted; written ABSA Risk Owner sign-off (THE program gate).</t>
        </is>
      </c>
    </row>
    <row r="182">
      <c r="A182" s="7" t="inlineStr">
        <is>
          <t>Task</t>
        </is>
      </c>
      <c r="B182" s="7" t="inlineStr">
        <is>
          <t>T-0811</t>
        </is>
      </c>
      <c r="C182" s="7" t="inlineStr">
        <is>
          <t>ST-0804</t>
        </is>
      </c>
      <c r="D182" s="7" t="inlineStr">
        <is>
          <t>E10</t>
        </is>
      </c>
      <c r="E182" s="7" t="inlineStr">
        <is>
          <t>PIR evidence pack (reconciliation, DQ, audit trail)</t>
        </is>
      </c>
      <c r="F182" s="7" t="inlineStr">
        <is>
          <t>SAS</t>
        </is>
      </c>
      <c r="G182" s="7" t="inlineStr">
        <is>
          <t>S8</t>
        </is>
      </c>
      <c r="H182" s="7" t="n">
        <v>2</v>
      </c>
      <c r="I182" s="7" t="inlineStr"/>
      <c r="J182" s="7" t="inlineStr"/>
      <c r="K182" s="7" t="inlineStr">
        <is>
          <t>T-0810</t>
        </is>
      </c>
      <c r="L182" s="7" t="inlineStr"/>
      <c r="M182" s="7" t="inlineStr">
        <is>
          <t>Planned</t>
        </is>
      </c>
      <c r="N182" s="7" t="inlineStr"/>
    </row>
    <row r="183">
      <c r="A183" s="7" t="inlineStr">
        <is>
          <t>Task</t>
        </is>
      </c>
      <c r="B183" s="7" t="inlineStr">
        <is>
          <t>T-0812</t>
        </is>
      </c>
      <c r="C183" s="7" t="inlineStr">
        <is>
          <t>ST-0804</t>
        </is>
      </c>
      <c r="D183" s="7" t="inlineStr">
        <is>
          <t>E10</t>
        </is>
      </c>
      <c r="E183" s="7" t="inlineStr">
        <is>
          <t>PIR data evidence: lineage + DQ reports</t>
        </is>
      </c>
      <c r="F183" s="7" t="inlineStr">
        <is>
          <t>DE</t>
        </is>
      </c>
      <c r="G183" s="7" t="inlineStr">
        <is>
          <t>S8</t>
        </is>
      </c>
      <c r="H183" s="7" t="n">
        <v>1</v>
      </c>
      <c r="I183" s="7" t="inlineStr"/>
      <c r="J183" s="7" t="inlineStr"/>
      <c r="K183" s="7" t="inlineStr">
        <is>
          <t>T-0810</t>
        </is>
      </c>
      <c r="L183" s="7" t="inlineStr"/>
      <c r="M183" s="7" t="inlineStr">
        <is>
          <t>Planned</t>
        </is>
      </c>
      <c r="N183" s="7" t="inlineStr"/>
    </row>
    <row r="184">
      <c r="A184" s="7" t="inlineStr">
        <is>
          <t>Task</t>
        </is>
      </c>
      <c r="B184" s="7" t="inlineStr">
        <is>
          <t>T-0813</t>
        </is>
      </c>
      <c r="C184" s="7" t="inlineStr">
        <is>
          <t>ST-0804</t>
        </is>
      </c>
      <c r="D184" s="7" t="inlineStr">
        <is>
          <t>E10</t>
        </is>
      </c>
      <c r="E184" s="7" t="inlineStr">
        <is>
          <t>ABSA sign-off review meeting + written sign-off</t>
        </is>
      </c>
      <c r="F184" s="7" t="inlineStr">
        <is>
          <t>TL</t>
        </is>
      </c>
      <c r="G184" s="7" t="inlineStr">
        <is>
          <t>S8</t>
        </is>
      </c>
      <c r="H184" s="7" t="n">
        <v>2</v>
      </c>
      <c r="I184" s="7" t="inlineStr"/>
      <c r="J184" s="7" t="inlineStr"/>
      <c r="K184" s="7" t="inlineStr">
        <is>
          <t>T-0811</t>
        </is>
      </c>
      <c r="L184" s="7" t="inlineStr"/>
      <c r="M184" s="7" t="inlineStr">
        <is>
          <t>Planned</t>
        </is>
      </c>
      <c r="N184" s="7" t="inlineStr">
        <is>
          <t>*** THE program gate ***</t>
        </is>
      </c>
    </row>
    <row r="185">
      <c r="A185" s="7" t="inlineStr">
        <is>
          <t>Task</t>
        </is>
      </c>
      <c r="B185" s="7" t="inlineStr">
        <is>
          <t>T-0814</t>
        </is>
      </c>
      <c r="C185" s="7" t="inlineStr">
        <is>
          <t>ST-0804</t>
        </is>
      </c>
      <c r="D185" s="7" t="inlineStr">
        <is>
          <t>E10</t>
        </is>
      </c>
      <c r="E185" s="7" t="inlineStr">
        <is>
          <t>G1 production schedules confirmed live</t>
        </is>
      </c>
      <c r="F185" s="7" t="inlineStr">
        <is>
          <t>AWS2</t>
        </is>
      </c>
      <c r="G185" s="7" t="inlineStr">
        <is>
          <t>S8</t>
        </is>
      </c>
      <c r="H185" s="7" t="n">
        <v>0.5</v>
      </c>
      <c r="I185" s="7" t="inlineStr"/>
      <c r="J185" s="7" t="inlineStr"/>
      <c r="K185" s="7" t="inlineStr">
        <is>
          <t>T-0813</t>
        </is>
      </c>
      <c r="L185" s="7" t="inlineStr"/>
      <c r="M185" s="7" t="inlineStr">
        <is>
          <t>Planned</t>
        </is>
      </c>
      <c r="N185" s="7" t="inlineStr"/>
    </row>
    <row r="186">
      <c r="A186" s="6" t="inlineStr">
        <is>
          <t>Story</t>
        </is>
      </c>
      <c r="B186" s="6" t="inlineStr">
        <is>
          <t>ST-1001</t>
        </is>
      </c>
      <c r="C186" s="6" t="inlineStr">
        <is>
          <t>E10</t>
        </is>
      </c>
      <c r="D186" s="6" t="inlineStr">
        <is>
          <t>E10</t>
        </is>
      </c>
      <c r="E186" s="6" t="inlineStr">
        <is>
          <t>Group 2 onboarding plan</t>
        </is>
      </c>
      <c r="F186" s="6" t="inlineStr"/>
      <c r="G186" s="6" t="inlineStr">
        <is>
          <t>S8</t>
        </is>
      </c>
      <c r="H186" s="6" t="n">
        <v>1</v>
      </c>
      <c r="I186" s="6" t="n">
        <v>1</v>
      </c>
      <c r="J186" s="6" t="inlineStr">
        <is>
          <t>Must</t>
        </is>
      </c>
      <c r="K186" s="6" t="inlineStr"/>
      <c r="L186" s="6" t="inlineStr"/>
      <c r="M186" s="6" t="inlineStr"/>
      <c r="N186" s="6" t="inlineStr">
        <is>
          <t>Per-model checklist derived from G1 lessons; wave allocation agreed.</t>
        </is>
      </c>
    </row>
    <row r="187">
      <c r="A187" s="7" t="inlineStr">
        <is>
          <t>Task</t>
        </is>
      </c>
      <c r="B187" s="7" t="inlineStr">
        <is>
          <t>T-1001</t>
        </is>
      </c>
      <c r="C187" s="7" t="inlineStr">
        <is>
          <t>ST-1001</t>
        </is>
      </c>
      <c r="D187" s="7" t="inlineStr">
        <is>
          <t>E10</t>
        </is>
      </c>
      <c r="E187" s="7" t="inlineStr">
        <is>
          <t>Group 2 onboarding plan + per-model checklist from G1 lessons</t>
        </is>
      </c>
      <c r="F187" s="7" t="inlineStr">
        <is>
          <t>TL</t>
        </is>
      </c>
      <c r="G187" s="7" t="inlineStr">
        <is>
          <t>S8</t>
        </is>
      </c>
      <c r="H187" s="7" t="n">
        <v>1</v>
      </c>
      <c r="I187" s="7" t="inlineStr"/>
      <c r="J187" s="7" t="inlineStr"/>
      <c r="K187" s="7" t="inlineStr">
        <is>
          <t>T-0813</t>
        </is>
      </c>
      <c r="L187" s="7" t="inlineStr"/>
      <c r="M187" s="7" t="inlineStr">
        <is>
          <t>Planned</t>
        </is>
      </c>
      <c r="N187" s="7" t="inlineStr"/>
    </row>
    <row r="188">
      <c r="A188" s="6" t="inlineStr">
        <is>
          <t>Story</t>
        </is>
      </c>
      <c r="B188" s="6" t="inlineStr">
        <is>
          <t>ST-1002</t>
        </is>
      </c>
      <c r="C188" s="6" t="inlineStr">
        <is>
          <t>E10</t>
        </is>
      </c>
      <c r="D188" s="6" t="inlineStr">
        <is>
          <t>E10</t>
        </is>
      </c>
      <c r="E188" s="6" t="inlineStr">
        <is>
          <t>Wave 1: models 3-5 (3 SAS devs)</t>
        </is>
      </c>
      <c r="F188" s="6" t="inlineStr"/>
      <c r="G188" s="6" t="inlineStr">
        <is>
          <t>S9</t>
        </is>
      </c>
      <c r="H188" s="6" t="n">
        <v>29</v>
      </c>
      <c r="I188" s="6" t="n">
        <v>13</v>
      </c>
      <c r="J188" s="6" t="inlineStr">
        <is>
          <t>Must</t>
        </is>
      </c>
      <c r="K188" s="6" t="inlineStr"/>
      <c r="L188" s="6" t="inlineStr"/>
      <c r="M188" s="6" t="inlineStr"/>
      <c r="N188" s="6" t="inlineStr">
        <is>
          <t>All three models scoring in prod, reconciled, PIR'd.</t>
        </is>
      </c>
    </row>
    <row r="189">
      <c r="A189" s="7" t="inlineStr">
        <is>
          <t>Task</t>
        </is>
      </c>
      <c r="B189" s="7" t="inlineStr">
        <is>
          <t>T-M03-DC</t>
        </is>
      </c>
      <c r="C189" s="7" t="inlineStr">
        <is>
          <t>ST-1002</t>
        </is>
      </c>
      <c r="D189" s="7" t="inlineStr">
        <is>
          <t>E10</t>
        </is>
      </c>
      <c r="E189" s="7" t="inlineStr">
        <is>
          <t>Model 3: contract + input schema</t>
        </is>
      </c>
      <c r="F189" s="7" t="inlineStr">
        <is>
          <t>DE</t>
        </is>
      </c>
      <c r="G189" s="7" t="inlineStr">
        <is>
          <t>S9</t>
        </is>
      </c>
      <c r="H189" s="7" t="n">
        <v>1</v>
      </c>
      <c r="I189" s="7" t="inlineStr"/>
      <c r="J189" s="7" t="inlineStr"/>
      <c r="K189" s="7" t="inlineStr">
        <is>
          <t>T-1001</t>
        </is>
      </c>
      <c r="L189" s="7" t="inlineStr"/>
      <c r="M189" s="7" t="inlineStr">
        <is>
          <t>Planned</t>
        </is>
      </c>
      <c r="N189" s="7" t="inlineStr">
        <is>
          <t>Group 2; SAS owner SAS</t>
        </is>
      </c>
    </row>
    <row r="190">
      <c r="A190" s="7" t="inlineStr">
        <is>
          <t>Task</t>
        </is>
      </c>
      <c r="B190" s="7" t="inlineStr">
        <is>
          <t>T-M03-DQ</t>
        </is>
      </c>
      <c r="C190" s="7" t="inlineStr">
        <is>
          <t>ST-1002</t>
        </is>
      </c>
      <c r="D190" s="7" t="inlineStr">
        <is>
          <t>E10</t>
        </is>
      </c>
      <c r="E190" s="7" t="inlineStr">
        <is>
          <t>Model 3: DQ rules + verification</t>
        </is>
      </c>
      <c r="F190" s="7" t="inlineStr">
        <is>
          <t>DE</t>
        </is>
      </c>
      <c r="G190" s="7" t="inlineStr">
        <is>
          <t>S9</t>
        </is>
      </c>
      <c r="H190" s="7" t="n">
        <v>0.5</v>
      </c>
      <c r="I190" s="7" t="inlineStr"/>
      <c r="J190" s="7" t="inlineStr"/>
      <c r="K190" s="7" t="inlineStr">
        <is>
          <t>T-1001</t>
        </is>
      </c>
      <c r="L190" s="7" t="inlineStr"/>
      <c r="M190" s="7" t="inlineStr">
        <is>
          <t>Planned</t>
        </is>
      </c>
      <c r="N190" s="7" t="inlineStr">
        <is>
          <t>Group 2; SAS owner SAS</t>
        </is>
      </c>
    </row>
    <row r="191">
      <c r="A191" s="7" t="inlineStr">
        <is>
          <t>Task</t>
        </is>
      </c>
      <c r="B191" s="7" t="inlineStr">
        <is>
          <t>T-M03-RV</t>
        </is>
      </c>
      <c r="C191" s="7" t="inlineStr">
        <is>
          <t>ST-1002</t>
        </is>
      </c>
      <c r="D191" s="7" t="inlineStr">
        <is>
          <t>E10</t>
        </is>
      </c>
      <c r="E191" s="7" t="inlineStr">
        <is>
          <t>Model 3: code review vs benchmark spec</t>
        </is>
      </c>
      <c r="F191" s="7" t="inlineStr">
        <is>
          <t>SAS</t>
        </is>
      </c>
      <c r="G191" s="7" t="inlineStr">
        <is>
          <t>S9</t>
        </is>
      </c>
      <c r="H191" s="7" t="n">
        <v>1</v>
      </c>
      <c r="I191" s="7" t="inlineStr"/>
      <c r="J191" s="7" t="inlineStr"/>
      <c r="K191" s="7" t="inlineStr">
        <is>
          <t>T-1001</t>
        </is>
      </c>
      <c r="L191" s="7" t="inlineStr"/>
      <c r="M191" s="7" t="inlineStr">
        <is>
          <t>Planned</t>
        </is>
      </c>
      <c r="N191" s="7" t="inlineStr">
        <is>
          <t>Group 2; SAS owner SAS</t>
        </is>
      </c>
    </row>
    <row r="192">
      <c r="A192" s="7" t="inlineStr">
        <is>
          <t>Task</t>
        </is>
      </c>
      <c r="B192" s="7" t="inlineStr">
        <is>
          <t>T-M03-OPT</t>
        </is>
      </c>
      <c r="C192" s="7" t="inlineStr">
        <is>
          <t>ST-1002</t>
        </is>
      </c>
      <c r="D192" s="7" t="inlineStr">
        <is>
          <t>E10</t>
        </is>
      </c>
      <c r="E192" s="7" t="inlineStr">
        <is>
          <t>Model 3: profile + optimize + unit-test scoring code</t>
        </is>
      </c>
      <c r="F192" s="7" t="inlineStr">
        <is>
          <t>SAS</t>
        </is>
      </c>
      <c r="G192" s="7" t="inlineStr">
        <is>
          <t>S9</t>
        </is>
      </c>
      <c r="H192" s="7" t="n">
        <v>2.5</v>
      </c>
      <c r="I192" s="7" t="inlineStr"/>
      <c r="J192" s="7" t="inlineStr"/>
      <c r="K192" s="7" t="inlineStr">
        <is>
          <t>T-1001</t>
        </is>
      </c>
      <c r="L192" s="7" t="inlineStr"/>
      <c r="M192" s="7" t="inlineStr">
        <is>
          <t>Planned</t>
        </is>
      </c>
      <c r="N192" s="7" t="inlineStr">
        <is>
          <t>Group 2; SAS owner SAS</t>
        </is>
      </c>
    </row>
    <row r="193">
      <c r="A193" s="7" t="inlineStr">
        <is>
          <t>Task</t>
        </is>
      </c>
      <c r="B193" s="7" t="inlineStr">
        <is>
          <t>T-M03-PKG</t>
        </is>
      </c>
      <c r="C193" s="7" t="inlineStr">
        <is>
          <t>ST-1002</t>
        </is>
      </c>
      <c r="D193" s="7" t="inlineStr">
        <is>
          <t>E10</t>
        </is>
      </c>
      <c r="E193" s="7" t="inlineStr">
        <is>
          <t>Model 3: package per ADR-0010 + code-intake green</t>
        </is>
      </c>
      <c r="F193" s="7" t="inlineStr">
        <is>
          <t>SAS</t>
        </is>
      </c>
      <c r="G193" s="7" t="inlineStr">
        <is>
          <t>S9</t>
        </is>
      </c>
      <c r="H193" s="7" t="n">
        <v>0.5</v>
      </c>
      <c r="I193" s="7" t="inlineStr"/>
      <c r="J193" s="7" t="inlineStr"/>
      <c r="K193" s="7" t="inlineStr">
        <is>
          <t>T-1001</t>
        </is>
      </c>
      <c r="L193" s="7" t="inlineStr"/>
      <c r="M193" s="7" t="inlineStr">
        <is>
          <t>Planned</t>
        </is>
      </c>
      <c r="N193" s="7" t="inlineStr">
        <is>
          <t>Group 2; SAS owner SAS</t>
        </is>
      </c>
    </row>
    <row r="194">
      <c r="A194" s="7" t="inlineStr">
        <is>
          <t>Task</t>
        </is>
      </c>
      <c r="B194" s="7" t="inlineStr">
        <is>
          <t>T-M03-REC</t>
        </is>
      </c>
      <c r="C194" s="7" t="inlineStr">
        <is>
          <t>ST-1002</t>
        </is>
      </c>
      <c r="D194" s="7" t="inlineStr">
        <is>
          <t>E10</t>
        </is>
      </c>
      <c r="E194" s="7" t="inlineStr">
        <is>
          <t>Model 3: reconcile vs benchmark + defect fix</t>
        </is>
      </c>
      <c r="F194" s="7" t="inlineStr">
        <is>
          <t>SAS</t>
        </is>
      </c>
      <c r="G194" s="7" t="inlineStr">
        <is>
          <t>S9</t>
        </is>
      </c>
      <c r="H194" s="7" t="n">
        <v>1.5</v>
      </c>
      <c r="I194" s="7" t="inlineStr"/>
      <c r="J194" s="7" t="inlineStr"/>
      <c r="K194" s="7" t="inlineStr">
        <is>
          <t>T-1001</t>
        </is>
      </c>
      <c r="L194" s="7" t="inlineStr"/>
      <c r="M194" s="7" t="inlineStr">
        <is>
          <t>Planned</t>
        </is>
      </c>
      <c r="N194" s="7" t="inlineStr">
        <is>
          <t>Group 2; SAS owner SAS</t>
        </is>
      </c>
    </row>
    <row r="195">
      <c r="A195" s="7" t="inlineStr">
        <is>
          <t>Task</t>
        </is>
      </c>
      <c r="B195" s="7" t="inlineStr">
        <is>
          <t>T-M03-PIR</t>
        </is>
      </c>
      <c r="C195" s="7" t="inlineStr">
        <is>
          <t>ST-1002</t>
        </is>
      </c>
      <c r="D195" s="7" t="inlineStr">
        <is>
          <t>E10</t>
        </is>
      </c>
      <c r="E195" s="7" t="inlineStr">
        <is>
          <t>Model 3: PIR pack + sign-off prep</t>
        </is>
      </c>
      <c r="F195" s="7" t="inlineStr">
        <is>
          <t>SAS</t>
        </is>
      </c>
      <c r="G195" s="7" t="inlineStr">
        <is>
          <t>S9</t>
        </is>
      </c>
      <c r="H195" s="7" t="n">
        <v>0.5</v>
      </c>
      <c r="I195" s="7" t="inlineStr"/>
      <c r="J195" s="7" t="inlineStr"/>
      <c r="K195" s="7" t="inlineStr">
        <is>
          <t>T-1001</t>
        </is>
      </c>
      <c r="L195" s="7" t="inlineStr"/>
      <c r="M195" s="7" t="inlineStr">
        <is>
          <t>Planned</t>
        </is>
      </c>
      <c r="N195" s="7" t="inlineStr">
        <is>
          <t>Group 2; SAS owner SAS</t>
        </is>
      </c>
    </row>
    <row r="196">
      <c r="A196" s="7" t="inlineStr">
        <is>
          <t>Task</t>
        </is>
      </c>
      <c r="B196" s="7" t="inlineStr">
        <is>
          <t>T-M03-IDD</t>
        </is>
      </c>
      <c r="C196" s="7" t="inlineStr">
        <is>
          <t>ST-1002</t>
        </is>
      </c>
      <c r="D196" s="7" t="inlineStr">
        <is>
          <t>E10</t>
        </is>
      </c>
      <c r="E196" s="7" t="inlineStr">
        <is>
          <t>Model 3: implementation doc: generate (IDG) + approve</t>
        </is>
      </c>
      <c r="F196" s="7" t="inlineStr">
        <is>
          <t>SAS</t>
        </is>
      </c>
      <c r="G196" s="7" t="inlineStr">
        <is>
          <t>S9</t>
        </is>
      </c>
      <c r="H196" s="7" t="n">
        <v>0.5</v>
      </c>
      <c r="I196" s="7" t="inlineStr"/>
      <c r="J196" s="7" t="inlineStr"/>
      <c r="K196" s="7" t="inlineStr">
        <is>
          <t>T-1001</t>
        </is>
      </c>
      <c r="L196" s="7" t="inlineStr"/>
      <c r="M196" s="7" t="inlineStr">
        <is>
          <t>Planned</t>
        </is>
      </c>
      <c r="N196" s="7" t="inlineStr">
        <is>
          <t>Group 2; SAS owner SAS</t>
        </is>
      </c>
    </row>
    <row r="197">
      <c r="A197" s="7" t="inlineStr">
        <is>
          <t>Task</t>
        </is>
      </c>
      <c r="B197" s="7" t="inlineStr">
        <is>
          <t>T-M03-PIPE</t>
        </is>
      </c>
      <c r="C197" s="7" t="inlineStr">
        <is>
          <t>ST-1002</t>
        </is>
      </c>
      <c r="D197" s="7" t="inlineStr">
        <is>
          <t>E10</t>
        </is>
      </c>
      <c r="E197" s="7" t="inlineStr">
        <is>
          <t>Model 3: pipeline config + EventBridge schedule</t>
        </is>
      </c>
      <c r="F197" s="7" t="inlineStr">
        <is>
          <t>AWS</t>
        </is>
      </c>
      <c r="G197" s="7" t="inlineStr">
        <is>
          <t>S9</t>
        </is>
      </c>
      <c r="H197" s="7" t="n">
        <v>0.5</v>
      </c>
      <c r="I197" s="7" t="inlineStr"/>
      <c r="J197" s="7" t="inlineStr"/>
      <c r="K197" s="7" t="inlineStr">
        <is>
          <t>T-1001</t>
        </is>
      </c>
      <c r="L197" s="7" t="inlineStr"/>
      <c r="M197" s="7" t="inlineStr">
        <is>
          <t>Planned</t>
        </is>
      </c>
      <c r="N197" s="7" t="inlineStr">
        <is>
          <t>Group 2; SAS owner SAS</t>
        </is>
      </c>
    </row>
    <row r="198">
      <c r="A198" s="7" t="inlineStr">
        <is>
          <t>Task</t>
        </is>
      </c>
      <c r="B198" s="7" t="inlineStr">
        <is>
          <t>T-M03-DEP</t>
        </is>
      </c>
      <c r="C198" s="7" t="inlineStr">
        <is>
          <t>ST-1002</t>
        </is>
      </c>
      <c r="D198" s="7" t="inlineStr">
        <is>
          <t>E10</t>
        </is>
      </c>
      <c r="E198" s="7" t="inlineStr">
        <is>
          <t>Model 3: deploy to prod + smoke</t>
        </is>
      </c>
      <c r="F198" s="7" t="inlineStr">
        <is>
          <t>AWS</t>
        </is>
      </c>
      <c r="G198" s="7" t="inlineStr">
        <is>
          <t>S9</t>
        </is>
      </c>
      <c r="H198" s="7" t="n">
        <v>0.5</v>
      </c>
      <c r="I198" s="7" t="inlineStr"/>
      <c r="J198" s="7" t="inlineStr"/>
      <c r="K198" s="7" t="inlineStr">
        <is>
          <t>T-1001</t>
        </is>
      </c>
      <c r="L198" s="7" t="inlineStr"/>
      <c r="M198" s="7" t="inlineStr">
        <is>
          <t>Planned</t>
        </is>
      </c>
      <c r="N198" s="7" t="inlineStr">
        <is>
          <t>Group 2; SAS owner SAS</t>
        </is>
      </c>
    </row>
    <row r="199">
      <c r="A199" s="7" t="inlineStr">
        <is>
          <t>Task</t>
        </is>
      </c>
      <c r="B199" s="7" t="inlineStr">
        <is>
          <t>T-M03-MON</t>
        </is>
      </c>
      <c r="C199" s="7" t="inlineStr">
        <is>
          <t>ST-1002</t>
        </is>
      </c>
      <c r="D199" s="7" t="inlineStr">
        <is>
          <t>E10</t>
        </is>
      </c>
      <c r="E199" s="7" t="inlineStr">
        <is>
          <t>Model 3: CI + monitoring wiring</t>
        </is>
      </c>
      <c r="F199" s="7" t="inlineStr">
        <is>
          <t>DevOps</t>
        </is>
      </c>
      <c r="G199" s="7" t="inlineStr">
        <is>
          <t>S9</t>
        </is>
      </c>
      <c r="H199" s="7" t="n">
        <v>0.5</v>
      </c>
      <c r="I199" s="7" t="inlineStr"/>
      <c r="J199" s="7" t="inlineStr"/>
      <c r="K199" s="7" t="inlineStr">
        <is>
          <t>T-1001</t>
        </is>
      </c>
      <c r="L199" s="7" t="inlineStr"/>
      <c r="M199" s="7" t="inlineStr">
        <is>
          <t>Planned</t>
        </is>
      </c>
      <c r="N199" s="7" t="inlineStr">
        <is>
          <t>Group 2; SAS owner SAS</t>
        </is>
      </c>
    </row>
    <row r="200">
      <c r="A200" s="7" t="inlineStr">
        <is>
          <t>Task</t>
        </is>
      </c>
      <c r="B200" s="7" t="inlineStr">
        <is>
          <t>T-M04-DC</t>
        </is>
      </c>
      <c r="C200" s="7" t="inlineStr">
        <is>
          <t>ST-1002</t>
        </is>
      </c>
      <c r="D200" s="7" t="inlineStr">
        <is>
          <t>E10</t>
        </is>
      </c>
      <c r="E200" s="7" t="inlineStr">
        <is>
          <t>Model 4: contract + input schema</t>
        </is>
      </c>
      <c r="F200" s="7" t="inlineStr">
        <is>
          <t>DE</t>
        </is>
      </c>
      <c r="G200" s="7" t="inlineStr">
        <is>
          <t>S9</t>
        </is>
      </c>
      <c r="H200" s="7" t="n">
        <v>1</v>
      </c>
      <c r="I200" s="7" t="inlineStr"/>
      <c r="J200" s="7" t="inlineStr"/>
      <c r="K200" s="7" t="inlineStr">
        <is>
          <t>T-1001</t>
        </is>
      </c>
      <c r="L200" s="7" t="inlineStr"/>
      <c r="M200" s="7" t="inlineStr">
        <is>
          <t>Planned</t>
        </is>
      </c>
      <c r="N200" s="7" t="inlineStr">
        <is>
          <t>Group 2; SAS owner SAS2</t>
        </is>
      </c>
    </row>
    <row r="201">
      <c r="A201" s="7" t="inlineStr">
        <is>
          <t>Task</t>
        </is>
      </c>
      <c r="B201" s="7" t="inlineStr">
        <is>
          <t>T-M04-DQ</t>
        </is>
      </c>
      <c r="C201" s="7" t="inlineStr">
        <is>
          <t>ST-1002</t>
        </is>
      </c>
      <c r="D201" s="7" t="inlineStr">
        <is>
          <t>E10</t>
        </is>
      </c>
      <c r="E201" s="7" t="inlineStr">
        <is>
          <t>Model 4: DQ rules + verification</t>
        </is>
      </c>
      <c r="F201" s="7" t="inlineStr">
        <is>
          <t>DE</t>
        </is>
      </c>
      <c r="G201" s="7" t="inlineStr">
        <is>
          <t>S9</t>
        </is>
      </c>
      <c r="H201" s="7" t="n">
        <v>0.5</v>
      </c>
      <c r="I201" s="7" t="inlineStr"/>
      <c r="J201" s="7" t="inlineStr"/>
      <c r="K201" s="7" t="inlineStr">
        <is>
          <t>T-1001</t>
        </is>
      </c>
      <c r="L201" s="7" t="inlineStr"/>
      <c r="M201" s="7" t="inlineStr">
        <is>
          <t>Planned</t>
        </is>
      </c>
      <c r="N201" s="7" t="inlineStr">
        <is>
          <t>Group 2; SAS owner SAS2</t>
        </is>
      </c>
    </row>
    <row r="202">
      <c r="A202" s="7" t="inlineStr">
        <is>
          <t>Task</t>
        </is>
      </c>
      <c r="B202" s="7" t="inlineStr">
        <is>
          <t>T-M04-RV</t>
        </is>
      </c>
      <c r="C202" s="7" t="inlineStr">
        <is>
          <t>ST-1002</t>
        </is>
      </c>
      <c r="D202" s="7" t="inlineStr">
        <is>
          <t>E10</t>
        </is>
      </c>
      <c r="E202" s="7" t="inlineStr">
        <is>
          <t>Model 4: code review vs benchmark spec</t>
        </is>
      </c>
      <c r="F202" s="7" t="inlineStr">
        <is>
          <t>SAS2</t>
        </is>
      </c>
      <c r="G202" s="7" t="inlineStr">
        <is>
          <t>S9</t>
        </is>
      </c>
      <c r="H202" s="7" t="n">
        <v>1</v>
      </c>
      <c r="I202" s="7" t="inlineStr"/>
      <c r="J202" s="7" t="inlineStr"/>
      <c r="K202" s="7" t="inlineStr">
        <is>
          <t>T-1001</t>
        </is>
      </c>
      <c r="L202" s="7" t="inlineStr"/>
      <c r="M202" s="7" t="inlineStr">
        <is>
          <t>Planned</t>
        </is>
      </c>
      <c r="N202" s="7" t="inlineStr">
        <is>
          <t>Group 2; SAS owner SAS2</t>
        </is>
      </c>
    </row>
    <row r="203">
      <c r="A203" s="7" t="inlineStr">
        <is>
          <t>Task</t>
        </is>
      </c>
      <c r="B203" s="7" t="inlineStr">
        <is>
          <t>T-M04-OPT</t>
        </is>
      </c>
      <c r="C203" s="7" t="inlineStr">
        <is>
          <t>ST-1002</t>
        </is>
      </c>
      <c r="D203" s="7" t="inlineStr">
        <is>
          <t>E10</t>
        </is>
      </c>
      <c r="E203" s="7" t="inlineStr">
        <is>
          <t>Model 4: profile + optimize + unit-test scoring code</t>
        </is>
      </c>
      <c r="F203" s="7" t="inlineStr">
        <is>
          <t>SAS2</t>
        </is>
      </c>
      <c r="G203" s="7" t="inlineStr">
        <is>
          <t>S9</t>
        </is>
      </c>
      <c r="H203" s="7" t="n">
        <v>2.5</v>
      </c>
      <c r="I203" s="7" t="inlineStr"/>
      <c r="J203" s="7" t="inlineStr"/>
      <c r="K203" s="7" t="inlineStr">
        <is>
          <t>T-1001</t>
        </is>
      </c>
      <c r="L203" s="7" t="inlineStr"/>
      <c r="M203" s="7" t="inlineStr">
        <is>
          <t>Planned</t>
        </is>
      </c>
      <c r="N203" s="7" t="inlineStr">
        <is>
          <t>Group 2; SAS owner SAS2</t>
        </is>
      </c>
    </row>
    <row r="204">
      <c r="A204" s="7" t="inlineStr">
        <is>
          <t>Task</t>
        </is>
      </c>
      <c r="B204" s="7" t="inlineStr">
        <is>
          <t>T-M04-PKG</t>
        </is>
      </c>
      <c r="C204" s="7" t="inlineStr">
        <is>
          <t>ST-1002</t>
        </is>
      </c>
      <c r="D204" s="7" t="inlineStr">
        <is>
          <t>E10</t>
        </is>
      </c>
      <c r="E204" s="7" t="inlineStr">
        <is>
          <t>Model 4: package per ADR-0010 + code-intake green</t>
        </is>
      </c>
      <c r="F204" s="7" t="inlineStr">
        <is>
          <t>SAS2</t>
        </is>
      </c>
      <c r="G204" s="7" t="inlineStr">
        <is>
          <t>S9</t>
        </is>
      </c>
      <c r="H204" s="7" t="n">
        <v>0.5</v>
      </c>
      <c r="I204" s="7" t="inlineStr"/>
      <c r="J204" s="7" t="inlineStr"/>
      <c r="K204" s="7" t="inlineStr">
        <is>
          <t>T-1001</t>
        </is>
      </c>
      <c r="L204" s="7" t="inlineStr"/>
      <c r="M204" s="7" t="inlineStr">
        <is>
          <t>Planned</t>
        </is>
      </c>
      <c r="N204" s="7" t="inlineStr">
        <is>
          <t>Group 2; SAS owner SAS2</t>
        </is>
      </c>
    </row>
    <row r="205">
      <c r="A205" s="7" t="inlineStr">
        <is>
          <t>Task</t>
        </is>
      </c>
      <c r="B205" s="7" t="inlineStr">
        <is>
          <t>T-M04-REC</t>
        </is>
      </c>
      <c r="C205" s="7" t="inlineStr">
        <is>
          <t>ST-1002</t>
        </is>
      </c>
      <c r="D205" s="7" t="inlineStr">
        <is>
          <t>E10</t>
        </is>
      </c>
      <c r="E205" s="7" t="inlineStr">
        <is>
          <t>Model 4: reconcile vs benchmark + defect fix</t>
        </is>
      </c>
      <c r="F205" s="7" t="inlineStr">
        <is>
          <t>SAS2</t>
        </is>
      </c>
      <c r="G205" s="7" t="inlineStr">
        <is>
          <t>S9</t>
        </is>
      </c>
      <c r="H205" s="7" t="n">
        <v>1.5</v>
      </c>
      <c r="I205" s="7" t="inlineStr"/>
      <c r="J205" s="7" t="inlineStr"/>
      <c r="K205" s="7" t="inlineStr">
        <is>
          <t>T-1001</t>
        </is>
      </c>
      <c r="L205" s="7" t="inlineStr"/>
      <c r="M205" s="7" t="inlineStr">
        <is>
          <t>Planned</t>
        </is>
      </c>
      <c r="N205" s="7" t="inlineStr">
        <is>
          <t>Group 2; SAS owner SAS2</t>
        </is>
      </c>
    </row>
    <row r="206">
      <c r="A206" s="7" t="inlineStr">
        <is>
          <t>Task</t>
        </is>
      </c>
      <c r="B206" s="7" t="inlineStr">
        <is>
          <t>T-M04-PIR</t>
        </is>
      </c>
      <c r="C206" s="7" t="inlineStr">
        <is>
          <t>ST-1002</t>
        </is>
      </c>
      <c r="D206" s="7" t="inlineStr">
        <is>
          <t>E10</t>
        </is>
      </c>
      <c r="E206" s="7" t="inlineStr">
        <is>
          <t>Model 4: PIR pack + sign-off prep</t>
        </is>
      </c>
      <c r="F206" s="7" t="inlineStr">
        <is>
          <t>SAS2</t>
        </is>
      </c>
      <c r="G206" s="7" t="inlineStr">
        <is>
          <t>S9</t>
        </is>
      </c>
      <c r="H206" s="7" t="n">
        <v>0.5</v>
      </c>
      <c r="I206" s="7" t="inlineStr"/>
      <c r="J206" s="7" t="inlineStr"/>
      <c r="K206" s="7" t="inlineStr">
        <is>
          <t>T-1001</t>
        </is>
      </c>
      <c r="L206" s="7" t="inlineStr"/>
      <c r="M206" s="7" t="inlineStr">
        <is>
          <t>Planned</t>
        </is>
      </c>
      <c r="N206" s="7" t="inlineStr">
        <is>
          <t>Group 2; SAS owner SAS2</t>
        </is>
      </c>
    </row>
    <row r="207">
      <c r="A207" s="7" t="inlineStr">
        <is>
          <t>Task</t>
        </is>
      </c>
      <c r="B207" s="7" t="inlineStr">
        <is>
          <t>T-M04-IDD</t>
        </is>
      </c>
      <c r="C207" s="7" t="inlineStr">
        <is>
          <t>ST-1002</t>
        </is>
      </c>
      <c r="D207" s="7" t="inlineStr">
        <is>
          <t>E10</t>
        </is>
      </c>
      <c r="E207" s="7" t="inlineStr">
        <is>
          <t>Model 4: implementation doc: generate (IDG) + approve</t>
        </is>
      </c>
      <c r="F207" s="7" t="inlineStr">
        <is>
          <t>SAS2</t>
        </is>
      </c>
      <c r="G207" s="7" t="inlineStr">
        <is>
          <t>S9</t>
        </is>
      </c>
      <c r="H207" s="7" t="n">
        <v>0.5</v>
      </c>
      <c r="I207" s="7" t="inlineStr"/>
      <c r="J207" s="7" t="inlineStr"/>
      <c r="K207" s="7" t="inlineStr">
        <is>
          <t>T-1001</t>
        </is>
      </c>
      <c r="L207" s="7" t="inlineStr"/>
      <c r="M207" s="7" t="inlineStr">
        <is>
          <t>Planned</t>
        </is>
      </c>
      <c r="N207" s="7" t="inlineStr">
        <is>
          <t>Group 2; SAS owner SAS2</t>
        </is>
      </c>
    </row>
    <row r="208">
      <c r="A208" s="7" t="inlineStr">
        <is>
          <t>Task</t>
        </is>
      </c>
      <c r="B208" s="7" t="inlineStr">
        <is>
          <t>T-M04-PIPE</t>
        </is>
      </c>
      <c r="C208" s="7" t="inlineStr">
        <is>
          <t>ST-1002</t>
        </is>
      </c>
      <c r="D208" s="7" t="inlineStr">
        <is>
          <t>E10</t>
        </is>
      </c>
      <c r="E208" s="7" t="inlineStr">
        <is>
          <t>Model 4: pipeline config + EventBridge schedule</t>
        </is>
      </c>
      <c r="F208" s="7" t="inlineStr">
        <is>
          <t>AWS</t>
        </is>
      </c>
      <c r="G208" s="7" t="inlineStr">
        <is>
          <t>S9</t>
        </is>
      </c>
      <c r="H208" s="7" t="n">
        <v>0.5</v>
      </c>
      <c r="I208" s="7" t="inlineStr"/>
      <c r="J208" s="7" t="inlineStr"/>
      <c r="K208" s="7" t="inlineStr">
        <is>
          <t>T-1001</t>
        </is>
      </c>
      <c r="L208" s="7" t="inlineStr"/>
      <c r="M208" s="7" t="inlineStr">
        <is>
          <t>Planned</t>
        </is>
      </c>
      <c r="N208" s="7" t="inlineStr">
        <is>
          <t>Group 2; SAS owner SAS2</t>
        </is>
      </c>
    </row>
    <row r="209">
      <c r="A209" s="7" t="inlineStr">
        <is>
          <t>Task</t>
        </is>
      </c>
      <c r="B209" s="7" t="inlineStr">
        <is>
          <t>T-M04-DEP</t>
        </is>
      </c>
      <c r="C209" s="7" t="inlineStr">
        <is>
          <t>ST-1002</t>
        </is>
      </c>
      <c r="D209" s="7" t="inlineStr">
        <is>
          <t>E10</t>
        </is>
      </c>
      <c r="E209" s="7" t="inlineStr">
        <is>
          <t>Model 4: deploy to prod + smoke</t>
        </is>
      </c>
      <c r="F209" s="7" t="inlineStr">
        <is>
          <t>AWS</t>
        </is>
      </c>
      <c r="G209" s="7" t="inlineStr">
        <is>
          <t>S9</t>
        </is>
      </c>
      <c r="H209" s="7" t="n">
        <v>0.5</v>
      </c>
      <c r="I209" s="7" t="inlineStr"/>
      <c r="J209" s="7" t="inlineStr"/>
      <c r="K209" s="7" t="inlineStr">
        <is>
          <t>T-1001</t>
        </is>
      </c>
      <c r="L209" s="7" t="inlineStr"/>
      <c r="M209" s="7" t="inlineStr">
        <is>
          <t>Planned</t>
        </is>
      </c>
      <c r="N209" s="7" t="inlineStr">
        <is>
          <t>Group 2; SAS owner SAS2</t>
        </is>
      </c>
    </row>
    <row r="210">
      <c r="A210" s="7" t="inlineStr">
        <is>
          <t>Task</t>
        </is>
      </c>
      <c r="B210" s="7" t="inlineStr">
        <is>
          <t>T-M04-MON</t>
        </is>
      </c>
      <c r="C210" s="7" t="inlineStr">
        <is>
          <t>ST-1002</t>
        </is>
      </c>
      <c r="D210" s="7" t="inlineStr">
        <is>
          <t>E10</t>
        </is>
      </c>
      <c r="E210" s="7" t="inlineStr">
        <is>
          <t>Model 4: CI + monitoring wiring</t>
        </is>
      </c>
      <c r="F210" s="7" t="inlineStr">
        <is>
          <t>DevOps</t>
        </is>
      </c>
      <c r="G210" s="7" t="inlineStr">
        <is>
          <t>S9</t>
        </is>
      </c>
      <c r="H210" s="7" t="n">
        <v>0.5</v>
      </c>
      <c r="I210" s="7" t="inlineStr"/>
      <c r="J210" s="7" t="inlineStr"/>
      <c r="K210" s="7" t="inlineStr">
        <is>
          <t>T-1001</t>
        </is>
      </c>
      <c r="L210" s="7" t="inlineStr"/>
      <c r="M210" s="7" t="inlineStr">
        <is>
          <t>Planned</t>
        </is>
      </c>
      <c r="N210" s="7" t="inlineStr">
        <is>
          <t>Group 2; SAS owner SAS2</t>
        </is>
      </c>
    </row>
    <row r="211">
      <c r="A211" s="7" t="inlineStr">
        <is>
          <t>Task</t>
        </is>
      </c>
      <c r="B211" s="7" t="inlineStr">
        <is>
          <t>T-M05-DC</t>
        </is>
      </c>
      <c r="C211" s="7" t="inlineStr">
        <is>
          <t>ST-1002</t>
        </is>
      </c>
      <c r="D211" s="7" t="inlineStr">
        <is>
          <t>E10</t>
        </is>
      </c>
      <c r="E211" s="7" t="inlineStr">
        <is>
          <t>Model 5: contract + input schema</t>
        </is>
      </c>
      <c r="F211" s="7" t="inlineStr">
        <is>
          <t>DE</t>
        </is>
      </c>
      <c r="G211" s="7" t="inlineStr">
        <is>
          <t>S9</t>
        </is>
      </c>
      <c r="H211" s="7" t="n">
        <v>1</v>
      </c>
      <c r="I211" s="7" t="inlineStr"/>
      <c r="J211" s="7" t="inlineStr"/>
      <c r="K211" s="7" t="inlineStr">
        <is>
          <t>T-1001</t>
        </is>
      </c>
      <c r="L211" s="7" t="inlineStr"/>
      <c r="M211" s="7" t="inlineStr">
        <is>
          <t>Planned</t>
        </is>
      </c>
      <c r="N211" s="7" t="inlineStr">
        <is>
          <t>Group 2; SAS owner SAS3</t>
        </is>
      </c>
    </row>
    <row r="212">
      <c r="A212" s="7" t="inlineStr">
        <is>
          <t>Task</t>
        </is>
      </c>
      <c r="B212" s="7" t="inlineStr">
        <is>
          <t>T-M05-DQ</t>
        </is>
      </c>
      <c r="C212" s="7" t="inlineStr">
        <is>
          <t>ST-1002</t>
        </is>
      </c>
      <c r="D212" s="7" t="inlineStr">
        <is>
          <t>E10</t>
        </is>
      </c>
      <c r="E212" s="7" t="inlineStr">
        <is>
          <t>Model 5: DQ rules + verification</t>
        </is>
      </c>
      <c r="F212" s="7" t="inlineStr">
        <is>
          <t>DE</t>
        </is>
      </c>
      <c r="G212" s="7" t="inlineStr">
        <is>
          <t>S9</t>
        </is>
      </c>
      <c r="H212" s="7" t="n">
        <v>0.5</v>
      </c>
      <c r="I212" s="7" t="inlineStr"/>
      <c r="J212" s="7" t="inlineStr"/>
      <c r="K212" s="7" t="inlineStr">
        <is>
          <t>T-1001</t>
        </is>
      </c>
      <c r="L212" s="7" t="inlineStr"/>
      <c r="M212" s="7" t="inlineStr">
        <is>
          <t>Planned</t>
        </is>
      </c>
      <c r="N212" s="7" t="inlineStr">
        <is>
          <t>Group 2; SAS owner SAS3</t>
        </is>
      </c>
    </row>
    <row r="213">
      <c r="A213" s="7" t="inlineStr">
        <is>
          <t>Task</t>
        </is>
      </c>
      <c r="B213" s="7" t="inlineStr">
        <is>
          <t>T-M05-RV</t>
        </is>
      </c>
      <c r="C213" s="7" t="inlineStr">
        <is>
          <t>ST-1002</t>
        </is>
      </c>
      <c r="D213" s="7" t="inlineStr">
        <is>
          <t>E10</t>
        </is>
      </c>
      <c r="E213" s="7" t="inlineStr">
        <is>
          <t>Model 5: code review vs benchmark spec</t>
        </is>
      </c>
      <c r="F213" s="7" t="inlineStr">
        <is>
          <t>SAS3</t>
        </is>
      </c>
      <c r="G213" s="7" t="inlineStr">
        <is>
          <t>S9</t>
        </is>
      </c>
      <c r="H213" s="7" t="n">
        <v>1</v>
      </c>
      <c r="I213" s="7" t="inlineStr"/>
      <c r="J213" s="7" t="inlineStr"/>
      <c r="K213" s="7" t="inlineStr">
        <is>
          <t>T-1001</t>
        </is>
      </c>
      <c r="L213" s="7" t="inlineStr"/>
      <c r="M213" s="7" t="inlineStr">
        <is>
          <t>Planned</t>
        </is>
      </c>
      <c r="N213" s="7" t="inlineStr">
        <is>
          <t>Group 2; SAS owner SAS3</t>
        </is>
      </c>
    </row>
    <row r="214">
      <c r="A214" s="7" t="inlineStr">
        <is>
          <t>Task</t>
        </is>
      </c>
      <c r="B214" s="7" t="inlineStr">
        <is>
          <t>T-M05-OPT</t>
        </is>
      </c>
      <c r="C214" s="7" t="inlineStr">
        <is>
          <t>ST-1002</t>
        </is>
      </c>
      <c r="D214" s="7" t="inlineStr">
        <is>
          <t>E10</t>
        </is>
      </c>
      <c r="E214" s="7" t="inlineStr">
        <is>
          <t>Model 5: profile + optimize + unit-test scoring code</t>
        </is>
      </c>
      <c r="F214" s="7" t="inlineStr">
        <is>
          <t>SAS3</t>
        </is>
      </c>
      <c r="G214" s="7" t="inlineStr">
        <is>
          <t>S9</t>
        </is>
      </c>
      <c r="H214" s="7" t="n">
        <v>2.5</v>
      </c>
      <c r="I214" s="7" t="inlineStr"/>
      <c r="J214" s="7" t="inlineStr"/>
      <c r="K214" s="7" t="inlineStr">
        <is>
          <t>T-1001</t>
        </is>
      </c>
      <c r="L214" s="7" t="inlineStr"/>
      <c r="M214" s="7" t="inlineStr">
        <is>
          <t>Planned</t>
        </is>
      </c>
      <c r="N214" s="7" t="inlineStr">
        <is>
          <t>Group 2; SAS owner SAS3</t>
        </is>
      </c>
    </row>
    <row r="215">
      <c r="A215" s="7" t="inlineStr">
        <is>
          <t>Task</t>
        </is>
      </c>
      <c r="B215" s="7" t="inlineStr">
        <is>
          <t>T-M05-PKG</t>
        </is>
      </c>
      <c r="C215" s="7" t="inlineStr">
        <is>
          <t>ST-1002</t>
        </is>
      </c>
      <c r="D215" s="7" t="inlineStr">
        <is>
          <t>E10</t>
        </is>
      </c>
      <c r="E215" s="7" t="inlineStr">
        <is>
          <t>Model 5: package per ADR-0010 + code-intake green</t>
        </is>
      </c>
      <c r="F215" s="7" t="inlineStr">
        <is>
          <t>SAS3</t>
        </is>
      </c>
      <c r="G215" s="7" t="inlineStr">
        <is>
          <t>S9</t>
        </is>
      </c>
      <c r="H215" s="7" t="n">
        <v>0.5</v>
      </c>
      <c r="I215" s="7" t="inlineStr"/>
      <c r="J215" s="7" t="inlineStr"/>
      <c r="K215" s="7" t="inlineStr">
        <is>
          <t>T-1001</t>
        </is>
      </c>
      <c r="L215" s="7" t="inlineStr"/>
      <c r="M215" s="7" t="inlineStr">
        <is>
          <t>Planned</t>
        </is>
      </c>
      <c r="N215" s="7" t="inlineStr">
        <is>
          <t>Group 2; SAS owner SAS3</t>
        </is>
      </c>
    </row>
    <row r="216">
      <c r="A216" s="7" t="inlineStr">
        <is>
          <t>Task</t>
        </is>
      </c>
      <c r="B216" s="7" t="inlineStr">
        <is>
          <t>T-M05-REC</t>
        </is>
      </c>
      <c r="C216" s="7" t="inlineStr">
        <is>
          <t>ST-1002</t>
        </is>
      </c>
      <c r="D216" s="7" t="inlineStr">
        <is>
          <t>E10</t>
        </is>
      </c>
      <c r="E216" s="7" t="inlineStr">
        <is>
          <t>Model 5: reconcile vs benchmark + defect fix</t>
        </is>
      </c>
      <c r="F216" s="7" t="inlineStr">
        <is>
          <t>SAS3</t>
        </is>
      </c>
      <c r="G216" s="7" t="inlineStr">
        <is>
          <t>S9</t>
        </is>
      </c>
      <c r="H216" s="7" t="n">
        <v>1.5</v>
      </c>
      <c r="I216" s="7" t="inlineStr"/>
      <c r="J216" s="7" t="inlineStr"/>
      <c r="K216" s="7" t="inlineStr">
        <is>
          <t>T-1001</t>
        </is>
      </c>
      <c r="L216" s="7" t="inlineStr"/>
      <c r="M216" s="7" t="inlineStr">
        <is>
          <t>Planned</t>
        </is>
      </c>
      <c r="N216" s="7" t="inlineStr">
        <is>
          <t>Group 2; SAS owner SAS3</t>
        </is>
      </c>
    </row>
    <row r="217">
      <c r="A217" s="7" t="inlineStr">
        <is>
          <t>Task</t>
        </is>
      </c>
      <c r="B217" s="7" t="inlineStr">
        <is>
          <t>T-M05-PIR</t>
        </is>
      </c>
      <c r="C217" s="7" t="inlineStr">
        <is>
          <t>ST-1002</t>
        </is>
      </c>
      <c r="D217" s="7" t="inlineStr">
        <is>
          <t>E10</t>
        </is>
      </c>
      <c r="E217" s="7" t="inlineStr">
        <is>
          <t>Model 5: PIR pack + sign-off prep</t>
        </is>
      </c>
      <c r="F217" s="7" t="inlineStr">
        <is>
          <t>SAS3</t>
        </is>
      </c>
      <c r="G217" s="7" t="inlineStr">
        <is>
          <t>S9</t>
        </is>
      </c>
      <c r="H217" s="7" t="n">
        <v>0.5</v>
      </c>
      <c r="I217" s="7" t="inlineStr"/>
      <c r="J217" s="7" t="inlineStr"/>
      <c r="K217" s="7" t="inlineStr">
        <is>
          <t>T-1001</t>
        </is>
      </c>
      <c r="L217" s="7" t="inlineStr"/>
      <c r="M217" s="7" t="inlineStr">
        <is>
          <t>Planned</t>
        </is>
      </c>
      <c r="N217" s="7" t="inlineStr">
        <is>
          <t>Group 2; SAS owner SAS3</t>
        </is>
      </c>
    </row>
    <row r="218">
      <c r="A218" s="7" t="inlineStr">
        <is>
          <t>Task</t>
        </is>
      </c>
      <c r="B218" s="7" t="inlineStr">
        <is>
          <t>T-M05-IDD</t>
        </is>
      </c>
      <c r="C218" s="7" t="inlineStr">
        <is>
          <t>ST-1002</t>
        </is>
      </c>
      <c r="D218" s="7" t="inlineStr">
        <is>
          <t>E10</t>
        </is>
      </c>
      <c r="E218" s="7" t="inlineStr">
        <is>
          <t>Model 5: implementation doc: generate (IDG) + approve</t>
        </is>
      </c>
      <c r="F218" s="7" t="inlineStr">
        <is>
          <t>SAS3</t>
        </is>
      </c>
      <c r="G218" s="7" t="inlineStr">
        <is>
          <t>S9</t>
        </is>
      </c>
      <c r="H218" s="7" t="n">
        <v>0.5</v>
      </c>
      <c r="I218" s="7" t="inlineStr"/>
      <c r="J218" s="7" t="inlineStr"/>
      <c r="K218" s="7" t="inlineStr">
        <is>
          <t>T-1001</t>
        </is>
      </c>
      <c r="L218" s="7" t="inlineStr"/>
      <c r="M218" s="7" t="inlineStr">
        <is>
          <t>Planned</t>
        </is>
      </c>
      <c r="N218" s="7" t="inlineStr">
        <is>
          <t>Group 2; SAS owner SAS3</t>
        </is>
      </c>
    </row>
    <row r="219">
      <c r="A219" s="7" t="inlineStr">
        <is>
          <t>Task</t>
        </is>
      </c>
      <c r="B219" s="7" t="inlineStr">
        <is>
          <t>T-M05-PIPE</t>
        </is>
      </c>
      <c r="C219" s="7" t="inlineStr">
        <is>
          <t>ST-1002</t>
        </is>
      </c>
      <c r="D219" s="7" t="inlineStr">
        <is>
          <t>E10</t>
        </is>
      </c>
      <c r="E219" s="7" t="inlineStr">
        <is>
          <t>Model 5: pipeline config + EventBridge schedule</t>
        </is>
      </c>
      <c r="F219" s="7" t="inlineStr">
        <is>
          <t>AWS</t>
        </is>
      </c>
      <c r="G219" s="7" t="inlineStr">
        <is>
          <t>S9</t>
        </is>
      </c>
      <c r="H219" s="7" t="n">
        <v>0.5</v>
      </c>
      <c r="I219" s="7" t="inlineStr"/>
      <c r="J219" s="7" t="inlineStr"/>
      <c r="K219" s="7" t="inlineStr">
        <is>
          <t>T-1001</t>
        </is>
      </c>
      <c r="L219" s="7" t="inlineStr"/>
      <c r="M219" s="7" t="inlineStr">
        <is>
          <t>Planned</t>
        </is>
      </c>
      <c r="N219" s="7" t="inlineStr">
        <is>
          <t>Group 2; SAS owner SAS3</t>
        </is>
      </c>
    </row>
    <row r="220">
      <c r="A220" s="7" t="inlineStr">
        <is>
          <t>Task</t>
        </is>
      </c>
      <c r="B220" s="7" t="inlineStr">
        <is>
          <t>T-M05-DEP</t>
        </is>
      </c>
      <c r="C220" s="7" t="inlineStr">
        <is>
          <t>ST-1002</t>
        </is>
      </c>
      <c r="D220" s="7" t="inlineStr">
        <is>
          <t>E10</t>
        </is>
      </c>
      <c r="E220" s="7" t="inlineStr">
        <is>
          <t>Model 5: deploy to prod + smoke</t>
        </is>
      </c>
      <c r="F220" s="7" t="inlineStr">
        <is>
          <t>AWS</t>
        </is>
      </c>
      <c r="G220" s="7" t="inlineStr">
        <is>
          <t>S9</t>
        </is>
      </c>
      <c r="H220" s="7" t="n">
        <v>0.5</v>
      </c>
      <c r="I220" s="7" t="inlineStr"/>
      <c r="J220" s="7" t="inlineStr"/>
      <c r="K220" s="7" t="inlineStr">
        <is>
          <t>T-1001</t>
        </is>
      </c>
      <c r="L220" s="7" t="inlineStr"/>
      <c r="M220" s="7" t="inlineStr">
        <is>
          <t>Planned</t>
        </is>
      </c>
      <c r="N220" s="7" t="inlineStr">
        <is>
          <t>Group 2; SAS owner SAS3</t>
        </is>
      </c>
    </row>
    <row r="221">
      <c r="A221" s="7" t="inlineStr">
        <is>
          <t>Task</t>
        </is>
      </c>
      <c r="B221" s="7" t="inlineStr">
        <is>
          <t>T-M05-MON</t>
        </is>
      </c>
      <c r="C221" s="7" t="inlineStr">
        <is>
          <t>ST-1002</t>
        </is>
      </c>
      <c r="D221" s="7" t="inlineStr">
        <is>
          <t>E10</t>
        </is>
      </c>
      <c r="E221" s="7" t="inlineStr">
        <is>
          <t>Model 5: CI + monitoring wiring</t>
        </is>
      </c>
      <c r="F221" s="7" t="inlineStr">
        <is>
          <t>DevOps</t>
        </is>
      </c>
      <c r="G221" s="7" t="inlineStr">
        <is>
          <t>S9</t>
        </is>
      </c>
      <c r="H221" s="7" t="n">
        <v>0.5</v>
      </c>
      <c r="I221" s="7" t="inlineStr"/>
      <c r="J221" s="7" t="inlineStr"/>
      <c r="K221" s="7" t="inlineStr">
        <is>
          <t>T-1001</t>
        </is>
      </c>
      <c r="L221" s="7" t="inlineStr"/>
      <c r="M221" s="7" t="inlineStr">
        <is>
          <t>Planned</t>
        </is>
      </c>
      <c r="N221" s="7" t="inlineStr">
        <is>
          <t>Group 2; SAS owner SAS3</t>
        </is>
      </c>
    </row>
    <row r="222">
      <c r="A222" s="7" t="inlineStr">
        <is>
          <t>Task</t>
        </is>
      </c>
      <c r="B222" s="7" t="inlineStr">
        <is>
          <t>T-W9</t>
        </is>
      </c>
      <c r="C222" s="7" t="inlineStr">
        <is>
          <t>ST-1002</t>
        </is>
      </c>
      <c r="D222" s="7" t="inlineStr">
        <is>
          <t>E10</t>
        </is>
      </c>
      <c r="E222" s="7" t="inlineStr">
        <is>
          <t>Wave review + ABSA checkpoint (S9)</t>
        </is>
      </c>
      <c r="F222" s="7" t="inlineStr">
        <is>
          <t>TL</t>
        </is>
      </c>
      <c r="G222" s="7" t="inlineStr">
        <is>
          <t>S9</t>
        </is>
      </c>
      <c r="H222" s="7" t="n">
        <v>0.5</v>
      </c>
      <c r="I222" s="7" t="inlineStr"/>
      <c r="J222" s="7" t="inlineStr"/>
      <c r="K222" s="7" t="inlineStr"/>
      <c r="L222" s="7" t="inlineStr"/>
      <c r="M222" s="7" t="inlineStr">
        <is>
          <t>Planned</t>
        </is>
      </c>
      <c r="N222" s="7" t="inlineStr"/>
    </row>
    <row r="223">
      <c r="A223" s="6" t="inlineStr">
        <is>
          <t>Story</t>
        </is>
      </c>
      <c r="B223" s="6" t="inlineStr">
        <is>
          <t>ST-1003</t>
        </is>
      </c>
      <c r="C223" s="6" t="inlineStr">
        <is>
          <t>E10</t>
        </is>
      </c>
      <c r="D223" s="6" t="inlineStr">
        <is>
          <t>E10</t>
        </is>
      </c>
      <c r="E223" s="6" t="inlineStr">
        <is>
          <t>Wave 2: models 6-8 (3 SAS devs)</t>
        </is>
      </c>
      <c r="F223" s="6" t="inlineStr"/>
      <c r="G223" s="6" t="inlineStr">
        <is>
          <t>S10</t>
        </is>
      </c>
      <c r="H223" s="6" t="n">
        <v>29</v>
      </c>
      <c r="I223" s="6" t="n">
        <v>13</v>
      </c>
      <c r="J223" s="6" t="inlineStr">
        <is>
          <t>Must</t>
        </is>
      </c>
      <c r="K223" s="6" t="inlineStr"/>
      <c r="L223" s="6" t="inlineStr"/>
      <c r="M223" s="6" t="inlineStr"/>
      <c r="N223" s="6" t="inlineStr">
        <is>
          <t>Same exit criteria.</t>
        </is>
      </c>
    </row>
    <row r="224">
      <c r="A224" s="7" t="inlineStr">
        <is>
          <t>Task</t>
        </is>
      </c>
      <c r="B224" s="7" t="inlineStr">
        <is>
          <t>T-M06-DC</t>
        </is>
      </c>
      <c r="C224" s="7" t="inlineStr">
        <is>
          <t>ST-1003</t>
        </is>
      </c>
      <c r="D224" s="7" t="inlineStr">
        <is>
          <t>E10</t>
        </is>
      </c>
      <c r="E224" s="7" t="inlineStr">
        <is>
          <t>Model 6: contract + input schema</t>
        </is>
      </c>
      <c r="F224" s="7" t="inlineStr">
        <is>
          <t>DE</t>
        </is>
      </c>
      <c r="G224" s="7" t="inlineStr">
        <is>
          <t>S10</t>
        </is>
      </c>
      <c r="H224" s="7" t="n">
        <v>1</v>
      </c>
      <c r="I224" s="7" t="inlineStr"/>
      <c r="J224" s="7" t="inlineStr"/>
      <c r="K224" s="7" t="inlineStr">
        <is>
          <t>T-1001</t>
        </is>
      </c>
      <c r="L224" s="7" t="inlineStr"/>
      <c r="M224" s="7" t="inlineStr">
        <is>
          <t>Planned</t>
        </is>
      </c>
      <c r="N224" s="7" t="inlineStr">
        <is>
          <t>Group 2; SAS owner SAS</t>
        </is>
      </c>
    </row>
    <row r="225">
      <c r="A225" s="7" t="inlineStr">
        <is>
          <t>Task</t>
        </is>
      </c>
      <c r="B225" s="7" t="inlineStr">
        <is>
          <t>T-M06-DQ</t>
        </is>
      </c>
      <c r="C225" s="7" t="inlineStr">
        <is>
          <t>ST-1003</t>
        </is>
      </c>
      <c r="D225" s="7" t="inlineStr">
        <is>
          <t>E10</t>
        </is>
      </c>
      <c r="E225" s="7" t="inlineStr">
        <is>
          <t>Model 6: DQ rules + verification</t>
        </is>
      </c>
      <c r="F225" s="7" t="inlineStr">
        <is>
          <t>DE</t>
        </is>
      </c>
      <c r="G225" s="7" t="inlineStr">
        <is>
          <t>S10</t>
        </is>
      </c>
      <c r="H225" s="7" t="n">
        <v>0.5</v>
      </c>
      <c r="I225" s="7" t="inlineStr"/>
      <c r="J225" s="7" t="inlineStr"/>
      <c r="K225" s="7" t="inlineStr">
        <is>
          <t>T-1001</t>
        </is>
      </c>
      <c r="L225" s="7" t="inlineStr"/>
      <c r="M225" s="7" t="inlineStr">
        <is>
          <t>Planned</t>
        </is>
      </c>
      <c r="N225" s="7" t="inlineStr">
        <is>
          <t>Group 2; SAS owner SAS</t>
        </is>
      </c>
    </row>
    <row r="226">
      <c r="A226" s="7" t="inlineStr">
        <is>
          <t>Task</t>
        </is>
      </c>
      <c r="B226" s="7" t="inlineStr">
        <is>
          <t>T-M06-RV</t>
        </is>
      </c>
      <c r="C226" s="7" t="inlineStr">
        <is>
          <t>ST-1003</t>
        </is>
      </c>
      <c r="D226" s="7" t="inlineStr">
        <is>
          <t>E10</t>
        </is>
      </c>
      <c r="E226" s="7" t="inlineStr">
        <is>
          <t>Model 6: code review vs benchmark spec</t>
        </is>
      </c>
      <c r="F226" s="7" t="inlineStr">
        <is>
          <t>SAS</t>
        </is>
      </c>
      <c r="G226" s="7" t="inlineStr">
        <is>
          <t>S10</t>
        </is>
      </c>
      <c r="H226" s="7" t="n">
        <v>1</v>
      </c>
      <c r="I226" s="7" t="inlineStr"/>
      <c r="J226" s="7" t="inlineStr"/>
      <c r="K226" s="7" t="inlineStr">
        <is>
          <t>T-1001</t>
        </is>
      </c>
      <c r="L226" s="7" t="inlineStr"/>
      <c r="M226" s="7" t="inlineStr">
        <is>
          <t>Planned</t>
        </is>
      </c>
      <c r="N226" s="7" t="inlineStr">
        <is>
          <t>Group 2; SAS owner SAS</t>
        </is>
      </c>
    </row>
    <row r="227">
      <c r="A227" s="7" t="inlineStr">
        <is>
          <t>Task</t>
        </is>
      </c>
      <c r="B227" s="7" t="inlineStr">
        <is>
          <t>T-M06-OPT</t>
        </is>
      </c>
      <c r="C227" s="7" t="inlineStr">
        <is>
          <t>ST-1003</t>
        </is>
      </c>
      <c r="D227" s="7" t="inlineStr">
        <is>
          <t>E10</t>
        </is>
      </c>
      <c r="E227" s="7" t="inlineStr">
        <is>
          <t>Model 6: profile + optimize + unit-test scoring code</t>
        </is>
      </c>
      <c r="F227" s="7" t="inlineStr">
        <is>
          <t>SAS</t>
        </is>
      </c>
      <c r="G227" s="7" t="inlineStr">
        <is>
          <t>S10</t>
        </is>
      </c>
      <c r="H227" s="7" t="n">
        <v>2.5</v>
      </c>
      <c r="I227" s="7" t="inlineStr"/>
      <c r="J227" s="7" t="inlineStr"/>
      <c r="K227" s="7" t="inlineStr">
        <is>
          <t>T-1001</t>
        </is>
      </c>
      <c r="L227" s="7" t="inlineStr"/>
      <c r="M227" s="7" t="inlineStr">
        <is>
          <t>Planned</t>
        </is>
      </c>
      <c r="N227" s="7" t="inlineStr">
        <is>
          <t>Group 2; SAS owner SAS</t>
        </is>
      </c>
    </row>
    <row r="228">
      <c r="A228" s="7" t="inlineStr">
        <is>
          <t>Task</t>
        </is>
      </c>
      <c r="B228" s="7" t="inlineStr">
        <is>
          <t>T-M06-PKG</t>
        </is>
      </c>
      <c r="C228" s="7" t="inlineStr">
        <is>
          <t>ST-1003</t>
        </is>
      </c>
      <c r="D228" s="7" t="inlineStr">
        <is>
          <t>E10</t>
        </is>
      </c>
      <c r="E228" s="7" t="inlineStr">
        <is>
          <t>Model 6: package per ADR-0010 + code-intake green</t>
        </is>
      </c>
      <c r="F228" s="7" t="inlineStr">
        <is>
          <t>SAS</t>
        </is>
      </c>
      <c r="G228" s="7" t="inlineStr">
        <is>
          <t>S10</t>
        </is>
      </c>
      <c r="H228" s="7" t="n">
        <v>0.5</v>
      </c>
      <c r="I228" s="7" t="inlineStr"/>
      <c r="J228" s="7" t="inlineStr"/>
      <c r="K228" s="7" t="inlineStr">
        <is>
          <t>T-1001</t>
        </is>
      </c>
      <c r="L228" s="7" t="inlineStr"/>
      <c r="M228" s="7" t="inlineStr">
        <is>
          <t>Planned</t>
        </is>
      </c>
      <c r="N228" s="7" t="inlineStr">
        <is>
          <t>Group 2; SAS owner SAS</t>
        </is>
      </c>
    </row>
    <row r="229">
      <c r="A229" s="7" t="inlineStr">
        <is>
          <t>Task</t>
        </is>
      </c>
      <c r="B229" s="7" t="inlineStr">
        <is>
          <t>T-M06-REC</t>
        </is>
      </c>
      <c r="C229" s="7" t="inlineStr">
        <is>
          <t>ST-1003</t>
        </is>
      </c>
      <c r="D229" s="7" t="inlineStr">
        <is>
          <t>E10</t>
        </is>
      </c>
      <c r="E229" s="7" t="inlineStr">
        <is>
          <t>Model 6: reconcile vs benchmark + defect fix</t>
        </is>
      </c>
      <c r="F229" s="7" t="inlineStr">
        <is>
          <t>SAS</t>
        </is>
      </c>
      <c r="G229" s="7" t="inlineStr">
        <is>
          <t>S10</t>
        </is>
      </c>
      <c r="H229" s="7" t="n">
        <v>1.5</v>
      </c>
      <c r="I229" s="7" t="inlineStr"/>
      <c r="J229" s="7" t="inlineStr"/>
      <c r="K229" s="7" t="inlineStr">
        <is>
          <t>T-1001</t>
        </is>
      </c>
      <c r="L229" s="7" t="inlineStr"/>
      <c r="M229" s="7" t="inlineStr">
        <is>
          <t>Planned</t>
        </is>
      </c>
      <c r="N229" s="7" t="inlineStr">
        <is>
          <t>Group 2; SAS owner SAS</t>
        </is>
      </c>
    </row>
    <row r="230">
      <c r="A230" s="7" t="inlineStr">
        <is>
          <t>Task</t>
        </is>
      </c>
      <c r="B230" s="7" t="inlineStr">
        <is>
          <t>T-M06-PIR</t>
        </is>
      </c>
      <c r="C230" s="7" t="inlineStr">
        <is>
          <t>ST-1003</t>
        </is>
      </c>
      <c r="D230" s="7" t="inlineStr">
        <is>
          <t>E10</t>
        </is>
      </c>
      <c r="E230" s="7" t="inlineStr">
        <is>
          <t>Model 6: PIR pack + sign-off prep</t>
        </is>
      </c>
      <c r="F230" s="7" t="inlineStr">
        <is>
          <t>SAS</t>
        </is>
      </c>
      <c r="G230" s="7" t="inlineStr">
        <is>
          <t>S10</t>
        </is>
      </c>
      <c r="H230" s="7" t="n">
        <v>0.5</v>
      </c>
      <c r="I230" s="7" t="inlineStr"/>
      <c r="J230" s="7" t="inlineStr"/>
      <c r="K230" s="7" t="inlineStr">
        <is>
          <t>T-1001</t>
        </is>
      </c>
      <c r="L230" s="7" t="inlineStr"/>
      <c r="M230" s="7" t="inlineStr">
        <is>
          <t>Planned</t>
        </is>
      </c>
      <c r="N230" s="7" t="inlineStr">
        <is>
          <t>Group 2; SAS owner SAS</t>
        </is>
      </c>
    </row>
    <row r="231">
      <c r="A231" s="7" t="inlineStr">
        <is>
          <t>Task</t>
        </is>
      </c>
      <c r="B231" s="7" t="inlineStr">
        <is>
          <t>T-M06-IDD</t>
        </is>
      </c>
      <c r="C231" s="7" t="inlineStr">
        <is>
          <t>ST-1003</t>
        </is>
      </c>
      <c r="D231" s="7" t="inlineStr">
        <is>
          <t>E10</t>
        </is>
      </c>
      <c r="E231" s="7" t="inlineStr">
        <is>
          <t>Model 6: implementation doc: generate (IDG) + approve</t>
        </is>
      </c>
      <c r="F231" s="7" t="inlineStr">
        <is>
          <t>SAS</t>
        </is>
      </c>
      <c r="G231" s="7" t="inlineStr">
        <is>
          <t>S10</t>
        </is>
      </c>
      <c r="H231" s="7" t="n">
        <v>0.5</v>
      </c>
      <c r="I231" s="7" t="inlineStr"/>
      <c r="J231" s="7" t="inlineStr"/>
      <c r="K231" s="7" t="inlineStr">
        <is>
          <t>T-1001</t>
        </is>
      </c>
      <c r="L231" s="7" t="inlineStr"/>
      <c r="M231" s="7" t="inlineStr">
        <is>
          <t>Planned</t>
        </is>
      </c>
      <c r="N231" s="7" t="inlineStr">
        <is>
          <t>Group 2; SAS owner SAS</t>
        </is>
      </c>
    </row>
    <row r="232">
      <c r="A232" s="7" t="inlineStr">
        <is>
          <t>Task</t>
        </is>
      </c>
      <c r="B232" s="7" t="inlineStr">
        <is>
          <t>T-M06-PIPE</t>
        </is>
      </c>
      <c r="C232" s="7" t="inlineStr">
        <is>
          <t>ST-1003</t>
        </is>
      </c>
      <c r="D232" s="7" t="inlineStr">
        <is>
          <t>E10</t>
        </is>
      </c>
      <c r="E232" s="7" t="inlineStr">
        <is>
          <t>Model 6: pipeline config + EventBridge schedule</t>
        </is>
      </c>
      <c r="F232" s="7" t="inlineStr">
        <is>
          <t>AWS</t>
        </is>
      </c>
      <c r="G232" s="7" t="inlineStr">
        <is>
          <t>S10</t>
        </is>
      </c>
      <c r="H232" s="7" t="n">
        <v>0.5</v>
      </c>
      <c r="I232" s="7" t="inlineStr"/>
      <c r="J232" s="7" t="inlineStr"/>
      <c r="K232" s="7" t="inlineStr">
        <is>
          <t>T-1001</t>
        </is>
      </c>
      <c r="L232" s="7" t="inlineStr"/>
      <c r="M232" s="7" t="inlineStr">
        <is>
          <t>Planned</t>
        </is>
      </c>
      <c r="N232" s="7" t="inlineStr">
        <is>
          <t>Group 2; SAS owner SAS</t>
        </is>
      </c>
    </row>
    <row r="233">
      <c r="A233" s="7" t="inlineStr">
        <is>
          <t>Task</t>
        </is>
      </c>
      <c r="B233" s="7" t="inlineStr">
        <is>
          <t>T-M06-DEP</t>
        </is>
      </c>
      <c r="C233" s="7" t="inlineStr">
        <is>
          <t>ST-1003</t>
        </is>
      </c>
      <c r="D233" s="7" t="inlineStr">
        <is>
          <t>E10</t>
        </is>
      </c>
      <c r="E233" s="7" t="inlineStr">
        <is>
          <t>Model 6: deploy to prod + smoke</t>
        </is>
      </c>
      <c r="F233" s="7" t="inlineStr">
        <is>
          <t>AWS</t>
        </is>
      </c>
      <c r="G233" s="7" t="inlineStr">
        <is>
          <t>S10</t>
        </is>
      </c>
      <c r="H233" s="7" t="n">
        <v>0.5</v>
      </c>
      <c r="I233" s="7" t="inlineStr"/>
      <c r="J233" s="7" t="inlineStr"/>
      <c r="K233" s="7" t="inlineStr">
        <is>
          <t>T-1001</t>
        </is>
      </c>
      <c r="L233" s="7" t="inlineStr"/>
      <c r="M233" s="7" t="inlineStr">
        <is>
          <t>Planned</t>
        </is>
      </c>
      <c r="N233" s="7" t="inlineStr">
        <is>
          <t>Group 2; SAS owner SAS</t>
        </is>
      </c>
    </row>
    <row r="234">
      <c r="A234" s="7" t="inlineStr">
        <is>
          <t>Task</t>
        </is>
      </c>
      <c r="B234" s="7" t="inlineStr">
        <is>
          <t>T-M06-MON</t>
        </is>
      </c>
      <c r="C234" s="7" t="inlineStr">
        <is>
          <t>ST-1003</t>
        </is>
      </c>
      <c r="D234" s="7" t="inlineStr">
        <is>
          <t>E10</t>
        </is>
      </c>
      <c r="E234" s="7" t="inlineStr">
        <is>
          <t>Model 6: CI + monitoring wiring</t>
        </is>
      </c>
      <c r="F234" s="7" t="inlineStr">
        <is>
          <t>DevOps</t>
        </is>
      </c>
      <c r="G234" s="7" t="inlineStr">
        <is>
          <t>S10</t>
        </is>
      </c>
      <c r="H234" s="7" t="n">
        <v>0.5</v>
      </c>
      <c r="I234" s="7" t="inlineStr"/>
      <c r="J234" s="7" t="inlineStr"/>
      <c r="K234" s="7" t="inlineStr">
        <is>
          <t>T-1001</t>
        </is>
      </c>
      <c r="L234" s="7" t="inlineStr"/>
      <c r="M234" s="7" t="inlineStr">
        <is>
          <t>Planned</t>
        </is>
      </c>
      <c r="N234" s="7" t="inlineStr">
        <is>
          <t>Group 2; SAS owner SAS</t>
        </is>
      </c>
    </row>
    <row r="235">
      <c r="A235" s="7" t="inlineStr">
        <is>
          <t>Task</t>
        </is>
      </c>
      <c r="B235" s="7" t="inlineStr">
        <is>
          <t>T-M07-DC</t>
        </is>
      </c>
      <c r="C235" s="7" t="inlineStr">
        <is>
          <t>ST-1003</t>
        </is>
      </c>
      <c r="D235" s="7" t="inlineStr">
        <is>
          <t>E10</t>
        </is>
      </c>
      <c r="E235" s="7" t="inlineStr">
        <is>
          <t>Model 7: contract + input schema</t>
        </is>
      </c>
      <c r="F235" s="7" t="inlineStr">
        <is>
          <t>DE</t>
        </is>
      </c>
      <c r="G235" s="7" t="inlineStr">
        <is>
          <t>S10</t>
        </is>
      </c>
      <c r="H235" s="7" t="n">
        <v>1</v>
      </c>
      <c r="I235" s="7" t="inlineStr"/>
      <c r="J235" s="7" t="inlineStr"/>
      <c r="K235" s="7" t="inlineStr">
        <is>
          <t>T-1001</t>
        </is>
      </c>
      <c r="L235" s="7" t="inlineStr"/>
      <c r="M235" s="7" t="inlineStr">
        <is>
          <t>Planned</t>
        </is>
      </c>
      <c r="N235" s="7" t="inlineStr">
        <is>
          <t>Group 2; SAS owner SAS2</t>
        </is>
      </c>
    </row>
    <row r="236">
      <c r="A236" s="7" t="inlineStr">
        <is>
          <t>Task</t>
        </is>
      </c>
      <c r="B236" s="7" t="inlineStr">
        <is>
          <t>T-M07-DQ</t>
        </is>
      </c>
      <c r="C236" s="7" t="inlineStr">
        <is>
          <t>ST-1003</t>
        </is>
      </c>
      <c r="D236" s="7" t="inlineStr">
        <is>
          <t>E10</t>
        </is>
      </c>
      <c r="E236" s="7" t="inlineStr">
        <is>
          <t>Model 7: DQ rules + verification</t>
        </is>
      </c>
      <c r="F236" s="7" t="inlineStr">
        <is>
          <t>DE</t>
        </is>
      </c>
      <c r="G236" s="7" t="inlineStr">
        <is>
          <t>S10</t>
        </is>
      </c>
      <c r="H236" s="7" t="n">
        <v>0.5</v>
      </c>
      <c r="I236" s="7" t="inlineStr"/>
      <c r="J236" s="7" t="inlineStr"/>
      <c r="K236" s="7" t="inlineStr">
        <is>
          <t>T-1001</t>
        </is>
      </c>
      <c r="L236" s="7" t="inlineStr"/>
      <c r="M236" s="7" t="inlineStr">
        <is>
          <t>Planned</t>
        </is>
      </c>
      <c r="N236" s="7" t="inlineStr">
        <is>
          <t>Group 2; SAS owner SAS2</t>
        </is>
      </c>
    </row>
    <row r="237">
      <c r="A237" s="7" t="inlineStr">
        <is>
          <t>Task</t>
        </is>
      </c>
      <c r="B237" s="7" t="inlineStr">
        <is>
          <t>T-M07-RV</t>
        </is>
      </c>
      <c r="C237" s="7" t="inlineStr">
        <is>
          <t>ST-1003</t>
        </is>
      </c>
      <c r="D237" s="7" t="inlineStr">
        <is>
          <t>E10</t>
        </is>
      </c>
      <c r="E237" s="7" t="inlineStr">
        <is>
          <t>Model 7: code review vs benchmark spec</t>
        </is>
      </c>
      <c r="F237" s="7" t="inlineStr">
        <is>
          <t>SAS2</t>
        </is>
      </c>
      <c r="G237" s="7" t="inlineStr">
        <is>
          <t>S10</t>
        </is>
      </c>
      <c r="H237" s="7" t="n">
        <v>1</v>
      </c>
      <c r="I237" s="7" t="inlineStr"/>
      <c r="J237" s="7" t="inlineStr"/>
      <c r="K237" s="7" t="inlineStr">
        <is>
          <t>T-1001</t>
        </is>
      </c>
      <c r="L237" s="7" t="inlineStr"/>
      <c r="M237" s="7" t="inlineStr">
        <is>
          <t>Planned</t>
        </is>
      </c>
      <c r="N237" s="7" t="inlineStr">
        <is>
          <t>Group 2; SAS owner SAS2</t>
        </is>
      </c>
    </row>
    <row r="238">
      <c r="A238" s="7" t="inlineStr">
        <is>
          <t>Task</t>
        </is>
      </c>
      <c r="B238" s="7" t="inlineStr">
        <is>
          <t>T-M07-OPT</t>
        </is>
      </c>
      <c r="C238" s="7" t="inlineStr">
        <is>
          <t>ST-1003</t>
        </is>
      </c>
      <c r="D238" s="7" t="inlineStr">
        <is>
          <t>E10</t>
        </is>
      </c>
      <c r="E238" s="7" t="inlineStr">
        <is>
          <t>Model 7: profile + optimize + unit-test scoring code</t>
        </is>
      </c>
      <c r="F238" s="7" t="inlineStr">
        <is>
          <t>SAS2</t>
        </is>
      </c>
      <c r="G238" s="7" t="inlineStr">
        <is>
          <t>S10</t>
        </is>
      </c>
      <c r="H238" s="7" t="n">
        <v>2.5</v>
      </c>
      <c r="I238" s="7" t="inlineStr"/>
      <c r="J238" s="7" t="inlineStr"/>
      <c r="K238" s="7" t="inlineStr">
        <is>
          <t>T-1001</t>
        </is>
      </c>
      <c r="L238" s="7" t="inlineStr"/>
      <c r="M238" s="7" t="inlineStr">
        <is>
          <t>Planned</t>
        </is>
      </c>
      <c r="N238" s="7" t="inlineStr">
        <is>
          <t>Group 2; SAS owner SAS2</t>
        </is>
      </c>
    </row>
    <row r="239">
      <c r="A239" s="7" t="inlineStr">
        <is>
          <t>Task</t>
        </is>
      </c>
      <c r="B239" s="7" t="inlineStr">
        <is>
          <t>T-M07-PKG</t>
        </is>
      </c>
      <c r="C239" s="7" t="inlineStr">
        <is>
          <t>ST-1003</t>
        </is>
      </c>
      <c r="D239" s="7" t="inlineStr">
        <is>
          <t>E10</t>
        </is>
      </c>
      <c r="E239" s="7" t="inlineStr">
        <is>
          <t>Model 7: package per ADR-0010 + code-intake green</t>
        </is>
      </c>
      <c r="F239" s="7" t="inlineStr">
        <is>
          <t>SAS2</t>
        </is>
      </c>
      <c r="G239" s="7" t="inlineStr">
        <is>
          <t>S10</t>
        </is>
      </c>
      <c r="H239" s="7" t="n">
        <v>0.5</v>
      </c>
      <c r="I239" s="7" t="inlineStr"/>
      <c r="J239" s="7" t="inlineStr"/>
      <c r="K239" s="7" t="inlineStr">
        <is>
          <t>T-1001</t>
        </is>
      </c>
      <c r="L239" s="7" t="inlineStr"/>
      <c r="M239" s="7" t="inlineStr">
        <is>
          <t>Planned</t>
        </is>
      </c>
      <c r="N239" s="7" t="inlineStr">
        <is>
          <t>Group 2; SAS owner SAS2</t>
        </is>
      </c>
    </row>
    <row r="240">
      <c r="A240" s="7" t="inlineStr">
        <is>
          <t>Task</t>
        </is>
      </c>
      <c r="B240" s="7" t="inlineStr">
        <is>
          <t>T-M07-REC</t>
        </is>
      </c>
      <c r="C240" s="7" t="inlineStr">
        <is>
          <t>ST-1003</t>
        </is>
      </c>
      <c r="D240" s="7" t="inlineStr">
        <is>
          <t>E10</t>
        </is>
      </c>
      <c r="E240" s="7" t="inlineStr">
        <is>
          <t>Model 7: reconcile vs benchmark + defect fix</t>
        </is>
      </c>
      <c r="F240" s="7" t="inlineStr">
        <is>
          <t>SAS2</t>
        </is>
      </c>
      <c r="G240" s="7" t="inlineStr">
        <is>
          <t>S10</t>
        </is>
      </c>
      <c r="H240" s="7" t="n">
        <v>1.5</v>
      </c>
      <c r="I240" s="7" t="inlineStr"/>
      <c r="J240" s="7" t="inlineStr"/>
      <c r="K240" s="7" t="inlineStr">
        <is>
          <t>T-1001</t>
        </is>
      </c>
      <c r="L240" s="7" t="inlineStr"/>
      <c r="M240" s="7" t="inlineStr">
        <is>
          <t>Planned</t>
        </is>
      </c>
      <c r="N240" s="7" t="inlineStr">
        <is>
          <t>Group 2; SAS owner SAS2</t>
        </is>
      </c>
    </row>
    <row r="241">
      <c r="A241" s="7" t="inlineStr">
        <is>
          <t>Task</t>
        </is>
      </c>
      <c r="B241" s="7" t="inlineStr">
        <is>
          <t>T-M07-PIR</t>
        </is>
      </c>
      <c r="C241" s="7" t="inlineStr">
        <is>
          <t>ST-1003</t>
        </is>
      </c>
      <c r="D241" s="7" t="inlineStr">
        <is>
          <t>E10</t>
        </is>
      </c>
      <c r="E241" s="7" t="inlineStr">
        <is>
          <t>Model 7: PIR pack + sign-off prep</t>
        </is>
      </c>
      <c r="F241" s="7" t="inlineStr">
        <is>
          <t>SAS2</t>
        </is>
      </c>
      <c r="G241" s="7" t="inlineStr">
        <is>
          <t>S10</t>
        </is>
      </c>
      <c r="H241" s="7" t="n">
        <v>0.5</v>
      </c>
      <c r="I241" s="7" t="inlineStr"/>
      <c r="J241" s="7" t="inlineStr"/>
      <c r="K241" s="7" t="inlineStr">
        <is>
          <t>T-1001</t>
        </is>
      </c>
      <c r="L241" s="7" t="inlineStr"/>
      <c r="M241" s="7" t="inlineStr">
        <is>
          <t>Planned</t>
        </is>
      </c>
      <c r="N241" s="7" t="inlineStr">
        <is>
          <t>Group 2; SAS owner SAS2</t>
        </is>
      </c>
    </row>
    <row r="242">
      <c r="A242" s="7" t="inlineStr">
        <is>
          <t>Task</t>
        </is>
      </c>
      <c r="B242" s="7" t="inlineStr">
        <is>
          <t>T-M07-IDD</t>
        </is>
      </c>
      <c r="C242" s="7" t="inlineStr">
        <is>
          <t>ST-1003</t>
        </is>
      </c>
      <c r="D242" s="7" t="inlineStr">
        <is>
          <t>E10</t>
        </is>
      </c>
      <c r="E242" s="7" t="inlineStr">
        <is>
          <t>Model 7: implementation doc: generate (IDG) + approve</t>
        </is>
      </c>
      <c r="F242" s="7" t="inlineStr">
        <is>
          <t>SAS2</t>
        </is>
      </c>
      <c r="G242" s="7" t="inlineStr">
        <is>
          <t>S10</t>
        </is>
      </c>
      <c r="H242" s="7" t="n">
        <v>0.5</v>
      </c>
      <c r="I242" s="7" t="inlineStr"/>
      <c r="J242" s="7" t="inlineStr"/>
      <c r="K242" s="7" t="inlineStr">
        <is>
          <t>T-1001</t>
        </is>
      </c>
      <c r="L242" s="7" t="inlineStr"/>
      <c r="M242" s="7" t="inlineStr">
        <is>
          <t>Planned</t>
        </is>
      </c>
      <c r="N242" s="7" t="inlineStr">
        <is>
          <t>Group 2; SAS owner SAS2</t>
        </is>
      </c>
    </row>
    <row r="243">
      <c r="A243" s="7" t="inlineStr">
        <is>
          <t>Task</t>
        </is>
      </c>
      <c r="B243" s="7" t="inlineStr">
        <is>
          <t>T-M07-PIPE</t>
        </is>
      </c>
      <c r="C243" s="7" t="inlineStr">
        <is>
          <t>ST-1003</t>
        </is>
      </c>
      <c r="D243" s="7" t="inlineStr">
        <is>
          <t>E10</t>
        </is>
      </c>
      <c r="E243" s="7" t="inlineStr">
        <is>
          <t>Model 7: pipeline config + EventBridge schedule</t>
        </is>
      </c>
      <c r="F243" s="7" t="inlineStr">
        <is>
          <t>AWS</t>
        </is>
      </c>
      <c r="G243" s="7" t="inlineStr">
        <is>
          <t>S10</t>
        </is>
      </c>
      <c r="H243" s="7" t="n">
        <v>0.5</v>
      </c>
      <c r="I243" s="7" t="inlineStr"/>
      <c r="J243" s="7" t="inlineStr"/>
      <c r="K243" s="7" t="inlineStr">
        <is>
          <t>T-1001</t>
        </is>
      </c>
      <c r="L243" s="7" t="inlineStr"/>
      <c r="M243" s="7" t="inlineStr">
        <is>
          <t>Planned</t>
        </is>
      </c>
      <c r="N243" s="7" t="inlineStr">
        <is>
          <t>Group 2; SAS owner SAS2</t>
        </is>
      </c>
    </row>
    <row r="244">
      <c r="A244" s="7" t="inlineStr">
        <is>
          <t>Task</t>
        </is>
      </c>
      <c r="B244" s="7" t="inlineStr">
        <is>
          <t>T-M07-DEP</t>
        </is>
      </c>
      <c r="C244" s="7" t="inlineStr">
        <is>
          <t>ST-1003</t>
        </is>
      </c>
      <c r="D244" s="7" t="inlineStr">
        <is>
          <t>E10</t>
        </is>
      </c>
      <c r="E244" s="7" t="inlineStr">
        <is>
          <t>Model 7: deploy to prod + smoke</t>
        </is>
      </c>
      <c r="F244" s="7" t="inlineStr">
        <is>
          <t>AWS</t>
        </is>
      </c>
      <c r="G244" s="7" t="inlineStr">
        <is>
          <t>S10</t>
        </is>
      </c>
      <c r="H244" s="7" t="n">
        <v>0.5</v>
      </c>
      <c r="I244" s="7" t="inlineStr"/>
      <c r="J244" s="7" t="inlineStr"/>
      <c r="K244" s="7" t="inlineStr">
        <is>
          <t>T-1001</t>
        </is>
      </c>
      <c r="L244" s="7" t="inlineStr"/>
      <c r="M244" s="7" t="inlineStr">
        <is>
          <t>Planned</t>
        </is>
      </c>
      <c r="N244" s="7" t="inlineStr">
        <is>
          <t>Group 2; SAS owner SAS2</t>
        </is>
      </c>
    </row>
    <row r="245">
      <c r="A245" s="7" t="inlineStr">
        <is>
          <t>Task</t>
        </is>
      </c>
      <c r="B245" s="7" t="inlineStr">
        <is>
          <t>T-M07-MON</t>
        </is>
      </c>
      <c r="C245" s="7" t="inlineStr">
        <is>
          <t>ST-1003</t>
        </is>
      </c>
      <c r="D245" s="7" t="inlineStr">
        <is>
          <t>E10</t>
        </is>
      </c>
      <c r="E245" s="7" t="inlineStr">
        <is>
          <t>Model 7: CI + monitoring wiring</t>
        </is>
      </c>
      <c r="F245" s="7" t="inlineStr">
        <is>
          <t>DevOps</t>
        </is>
      </c>
      <c r="G245" s="7" t="inlineStr">
        <is>
          <t>S10</t>
        </is>
      </c>
      <c r="H245" s="7" t="n">
        <v>0.5</v>
      </c>
      <c r="I245" s="7" t="inlineStr"/>
      <c r="J245" s="7" t="inlineStr"/>
      <c r="K245" s="7" t="inlineStr">
        <is>
          <t>T-1001</t>
        </is>
      </c>
      <c r="L245" s="7" t="inlineStr"/>
      <c r="M245" s="7" t="inlineStr">
        <is>
          <t>Planned</t>
        </is>
      </c>
      <c r="N245" s="7" t="inlineStr">
        <is>
          <t>Group 2; SAS owner SAS2</t>
        </is>
      </c>
    </row>
    <row r="246">
      <c r="A246" s="7" t="inlineStr">
        <is>
          <t>Task</t>
        </is>
      </c>
      <c r="B246" s="7" t="inlineStr">
        <is>
          <t>T-M08-DC</t>
        </is>
      </c>
      <c r="C246" s="7" t="inlineStr">
        <is>
          <t>ST-1003</t>
        </is>
      </c>
      <c r="D246" s="7" t="inlineStr">
        <is>
          <t>E10</t>
        </is>
      </c>
      <c r="E246" s="7" t="inlineStr">
        <is>
          <t>Model 8: contract + input schema</t>
        </is>
      </c>
      <c r="F246" s="7" t="inlineStr">
        <is>
          <t>DE</t>
        </is>
      </c>
      <c r="G246" s="7" t="inlineStr">
        <is>
          <t>S10</t>
        </is>
      </c>
      <c r="H246" s="7" t="n">
        <v>1</v>
      </c>
      <c r="I246" s="7" t="inlineStr"/>
      <c r="J246" s="7" t="inlineStr"/>
      <c r="K246" s="7" t="inlineStr">
        <is>
          <t>T-1001</t>
        </is>
      </c>
      <c r="L246" s="7" t="inlineStr"/>
      <c r="M246" s="7" t="inlineStr">
        <is>
          <t>Planned</t>
        </is>
      </c>
      <c r="N246" s="7" t="inlineStr">
        <is>
          <t>Group 2; SAS owner SAS3</t>
        </is>
      </c>
    </row>
    <row r="247">
      <c r="A247" s="7" t="inlineStr">
        <is>
          <t>Task</t>
        </is>
      </c>
      <c r="B247" s="7" t="inlineStr">
        <is>
          <t>T-M08-DQ</t>
        </is>
      </c>
      <c r="C247" s="7" t="inlineStr">
        <is>
          <t>ST-1003</t>
        </is>
      </c>
      <c r="D247" s="7" t="inlineStr">
        <is>
          <t>E10</t>
        </is>
      </c>
      <c r="E247" s="7" t="inlineStr">
        <is>
          <t>Model 8: DQ rules + verification</t>
        </is>
      </c>
      <c r="F247" s="7" t="inlineStr">
        <is>
          <t>DE</t>
        </is>
      </c>
      <c r="G247" s="7" t="inlineStr">
        <is>
          <t>S10</t>
        </is>
      </c>
      <c r="H247" s="7" t="n">
        <v>0.5</v>
      </c>
      <c r="I247" s="7" t="inlineStr"/>
      <c r="J247" s="7" t="inlineStr"/>
      <c r="K247" s="7" t="inlineStr">
        <is>
          <t>T-1001</t>
        </is>
      </c>
      <c r="L247" s="7" t="inlineStr"/>
      <c r="M247" s="7" t="inlineStr">
        <is>
          <t>Planned</t>
        </is>
      </c>
      <c r="N247" s="7" t="inlineStr">
        <is>
          <t>Group 2; SAS owner SAS3</t>
        </is>
      </c>
    </row>
    <row r="248">
      <c r="A248" s="7" t="inlineStr">
        <is>
          <t>Task</t>
        </is>
      </c>
      <c r="B248" s="7" t="inlineStr">
        <is>
          <t>T-M08-RV</t>
        </is>
      </c>
      <c r="C248" s="7" t="inlineStr">
        <is>
          <t>ST-1003</t>
        </is>
      </c>
      <c r="D248" s="7" t="inlineStr">
        <is>
          <t>E10</t>
        </is>
      </c>
      <c r="E248" s="7" t="inlineStr">
        <is>
          <t>Model 8: code review vs benchmark spec</t>
        </is>
      </c>
      <c r="F248" s="7" t="inlineStr">
        <is>
          <t>SAS3</t>
        </is>
      </c>
      <c r="G248" s="7" t="inlineStr">
        <is>
          <t>S10</t>
        </is>
      </c>
      <c r="H248" s="7" t="n">
        <v>1</v>
      </c>
      <c r="I248" s="7" t="inlineStr"/>
      <c r="J248" s="7" t="inlineStr"/>
      <c r="K248" s="7" t="inlineStr">
        <is>
          <t>T-1001</t>
        </is>
      </c>
      <c r="L248" s="7" t="inlineStr"/>
      <c r="M248" s="7" t="inlineStr">
        <is>
          <t>Planned</t>
        </is>
      </c>
      <c r="N248" s="7" t="inlineStr">
        <is>
          <t>Group 2; SAS owner SAS3</t>
        </is>
      </c>
    </row>
    <row r="249">
      <c r="A249" s="7" t="inlineStr">
        <is>
          <t>Task</t>
        </is>
      </c>
      <c r="B249" s="7" t="inlineStr">
        <is>
          <t>T-M08-OPT</t>
        </is>
      </c>
      <c r="C249" s="7" t="inlineStr">
        <is>
          <t>ST-1003</t>
        </is>
      </c>
      <c r="D249" s="7" t="inlineStr">
        <is>
          <t>E10</t>
        </is>
      </c>
      <c r="E249" s="7" t="inlineStr">
        <is>
          <t>Model 8: profile + optimize + unit-test scoring code</t>
        </is>
      </c>
      <c r="F249" s="7" t="inlineStr">
        <is>
          <t>SAS3</t>
        </is>
      </c>
      <c r="G249" s="7" t="inlineStr">
        <is>
          <t>S10</t>
        </is>
      </c>
      <c r="H249" s="7" t="n">
        <v>2.5</v>
      </c>
      <c r="I249" s="7" t="inlineStr"/>
      <c r="J249" s="7" t="inlineStr"/>
      <c r="K249" s="7" t="inlineStr">
        <is>
          <t>T-1001</t>
        </is>
      </c>
      <c r="L249" s="7" t="inlineStr"/>
      <c r="M249" s="7" t="inlineStr">
        <is>
          <t>Planned</t>
        </is>
      </c>
      <c r="N249" s="7" t="inlineStr">
        <is>
          <t>Group 2; SAS owner SAS3</t>
        </is>
      </c>
    </row>
    <row r="250">
      <c r="A250" s="7" t="inlineStr">
        <is>
          <t>Task</t>
        </is>
      </c>
      <c r="B250" s="7" t="inlineStr">
        <is>
          <t>T-M08-PKG</t>
        </is>
      </c>
      <c r="C250" s="7" t="inlineStr">
        <is>
          <t>ST-1003</t>
        </is>
      </c>
      <c r="D250" s="7" t="inlineStr">
        <is>
          <t>E10</t>
        </is>
      </c>
      <c r="E250" s="7" t="inlineStr">
        <is>
          <t>Model 8: package per ADR-0010 + code-intake green</t>
        </is>
      </c>
      <c r="F250" s="7" t="inlineStr">
        <is>
          <t>SAS3</t>
        </is>
      </c>
      <c r="G250" s="7" t="inlineStr">
        <is>
          <t>S10</t>
        </is>
      </c>
      <c r="H250" s="7" t="n">
        <v>0.5</v>
      </c>
      <c r="I250" s="7" t="inlineStr"/>
      <c r="J250" s="7" t="inlineStr"/>
      <c r="K250" s="7" t="inlineStr">
        <is>
          <t>T-1001</t>
        </is>
      </c>
      <c r="L250" s="7" t="inlineStr"/>
      <c r="M250" s="7" t="inlineStr">
        <is>
          <t>Planned</t>
        </is>
      </c>
      <c r="N250" s="7" t="inlineStr">
        <is>
          <t>Group 2; SAS owner SAS3</t>
        </is>
      </c>
    </row>
    <row r="251">
      <c r="A251" s="7" t="inlineStr">
        <is>
          <t>Task</t>
        </is>
      </c>
      <c r="B251" s="7" t="inlineStr">
        <is>
          <t>T-M08-REC</t>
        </is>
      </c>
      <c r="C251" s="7" t="inlineStr">
        <is>
          <t>ST-1003</t>
        </is>
      </c>
      <c r="D251" s="7" t="inlineStr">
        <is>
          <t>E10</t>
        </is>
      </c>
      <c r="E251" s="7" t="inlineStr">
        <is>
          <t>Model 8: reconcile vs benchmark + defect fix</t>
        </is>
      </c>
      <c r="F251" s="7" t="inlineStr">
        <is>
          <t>SAS3</t>
        </is>
      </c>
      <c r="G251" s="7" t="inlineStr">
        <is>
          <t>S10</t>
        </is>
      </c>
      <c r="H251" s="7" t="n">
        <v>1.5</v>
      </c>
      <c r="I251" s="7" t="inlineStr"/>
      <c r="J251" s="7" t="inlineStr"/>
      <c r="K251" s="7" t="inlineStr">
        <is>
          <t>T-1001</t>
        </is>
      </c>
      <c r="L251" s="7" t="inlineStr"/>
      <c r="M251" s="7" t="inlineStr">
        <is>
          <t>Planned</t>
        </is>
      </c>
      <c r="N251" s="7" t="inlineStr">
        <is>
          <t>Group 2; SAS owner SAS3</t>
        </is>
      </c>
    </row>
    <row r="252">
      <c r="A252" s="7" t="inlineStr">
        <is>
          <t>Task</t>
        </is>
      </c>
      <c r="B252" s="7" t="inlineStr">
        <is>
          <t>T-M08-PIR</t>
        </is>
      </c>
      <c r="C252" s="7" t="inlineStr">
        <is>
          <t>ST-1003</t>
        </is>
      </c>
      <c r="D252" s="7" t="inlineStr">
        <is>
          <t>E10</t>
        </is>
      </c>
      <c r="E252" s="7" t="inlineStr">
        <is>
          <t>Model 8: PIR pack + sign-off prep</t>
        </is>
      </c>
      <c r="F252" s="7" t="inlineStr">
        <is>
          <t>SAS3</t>
        </is>
      </c>
      <c r="G252" s="7" t="inlineStr">
        <is>
          <t>S10</t>
        </is>
      </c>
      <c r="H252" s="7" t="n">
        <v>0.5</v>
      </c>
      <c r="I252" s="7" t="inlineStr"/>
      <c r="J252" s="7" t="inlineStr"/>
      <c r="K252" s="7" t="inlineStr">
        <is>
          <t>T-1001</t>
        </is>
      </c>
      <c r="L252" s="7" t="inlineStr"/>
      <c r="M252" s="7" t="inlineStr">
        <is>
          <t>Planned</t>
        </is>
      </c>
      <c r="N252" s="7" t="inlineStr">
        <is>
          <t>Group 2; SAS owner SAS3</t>
        </is>
      </c>
    </row>
    <row r="253">
      <c r="A253" s="7" t="inlineStr">
        <is>
          <t>Task</t>
        </is>
      </c>
      <c r="B253" s="7" t="inlineStr">
        <is>
          <t>T-M08-IDD</t>
        </is>
      </c>
      <c r="C253" s="7" t="inlineStr">
        <is>
          <t>ST-1003</t>
        </is>
      </c>
      <c r="D253" s="7" t="inlineStr">
        <is>
          <t>E10</t>
        </is>
      </c>
      <c r="E253" s="7" t="inlineStr">
        <is>
          <t>Model 8: implementation doc: generate (IDG) + approve</t>
        </is>
      </c>
      <c r="F253" s="7" t="inlineStr">
        <is>
          <t>SAS3</t>
        </is>
      </c>
      <c r="G253" s="7" t="inlineStr">
        <is>
          <t>S10</t>
        </is>
      </c>
      <c r="H253" s="7" t="n">
        <v>0.5</v>
      </c>
      <c r="I253" s="7" t="inlineStr"/>
      <c r="J253" s="7" t="inlineStr"/>
      <c r="K253" s="7" t="inlineStr">
        <is>
          <t>T-1001</t>
        </is>
      </c>
      <c r="L253" s="7" t="inlineStr"/>
      <c r="M253" s="7" t="inlineStr">
        <is>
          <t>Planned</t>
        </is>
      </c>
      <c r="N253" s="7" t="inlineStr">
        <is>
          <t>Group 2; SAS owner SAS3</t>
        </is>
      </c>
    </row>
    <row r="254">
      <c r="A254" s="7" t="inlineStr">
        <is>
          <t>Task</t>
        </is>
      </c>
      <c r="B254" s="7" t="inlineStr">
        <is>
          <t>T-M08-PIPE</t>
        </is>
      </c>
      <c r="C254" s="7" t="inlineStr">
        <is>
          <t>ST-1003</t>
        </is>
      </c>
      <c r="D254" s="7" t="inlineStr">
        <is>
          <t>E10</t>
        </is>
      </c>
      <c r="E254" s="7" t="inlineStr">
        <is>
          <t>Model 8: pipeline config + EventBridge schedule</t>
        </is>
      </c>
      <c r="F254" s="7" t="inlineStr">
        <is>
          <t>AWS</t>
        </is>
      </c>
      <c r="G254" s="7" t="inlineStr">
        <is>
          <t>S10</t>
        </is>
      </c>
      <c r="H254" s="7" t="n">
        <v>0.5</v>
      </c>
      <c r="I254" s="7" t="inlineStr"/>
      <c r="J254" s="7" t="inlineStr"/>
      <c r="K254" s="7" t="inlineStr">
        <is>
          <t>T-1001</t>
        </is>
      </c>
      <c r="L254" s="7" t="inlineStr"/>
      <c r="M254" s="7" t="inlineStr">
        <is>
          <t>Planned</t>
        </is>
      </c>
      <c r="N254" s="7" t="inlineStr">
        <is>
          <t>Group 2; SAS owner SAS3</t>
        </is>
      </c>
    </row>
    <row r="255">
      <c r="A255" s="7" t="inlineStr">
        <is>
          <t>Task</t>
        </is>
      </c>
      <c r="B255" s="7" t="inlineStr">
        <is>
          <t>T-M08-DEP</t>
        </is>
      </c>
      <c r="C255" s="7" t="inlineStr">
        <is>
          <t>ST-1003</t>
        </is>
      </c>
      <c r="D255" s="7" t="inlineStr">
        <is>
          <t>E10</t>
        </is>
      </c>
      <c r="E255" s="7" t="inlineStr">
        <is>
          <t>Model 8: deploy to prod + smoke</t>
        </is>
      </c>
      <c r="F255" s="7" t="inlineStr">
        <is>
          <t>AWS</t>
        </is>
      </c>
      <c r="G255" s="7" t="inlineStr">
        <is>
          <t>S10</t>
        </is>
      </c>
      <c r="H255" s="7" t="n">
        <v>0.5</v>
      </c>
      <c r="I255" s="7" t="inlineStr"/>
      <c r="J255" s="7" t="inlineStr"/>
      <c r="K255" s="7" t="inlineStr">
        <is>
          <t>T-1001</t>
        </is>
      </c>
      <c r="L255" s="7" t="inlineStr"/>
      <c r="M255" s="7" t="inlineStr">
        <is>
          <t>Planned</t>
        </is>
      </c>
      <c r="N255" s="7" t="inlineStr">
        <is>
          <t>Group 2; SAS owner SAS3</t>
        </is>
      </c>
    </row>
    <row r="256">
      <c r="A256" s="7" t="inlineStr">
        <is>
          <t>Task</t>
        </is>
      </c>
      <c r="B256" s="7" t="inlineStr">
        <is>
          <t>T-M08-MON</t>
        </is>
      </c>
      <c r="C256" s="7" t="inlineStr">
        <is>
          <t>ST-1003</t>
        </is>
      </c>
      <c r="D256" s="7" t="inlineStr">
        <is>
          <t>E10</t>
        </is>
      </c>
      <c r="E256" s="7" t="inlineStr">
        <is>
          <t>Model 8: CI + monitoring wiring</t>
        </is>
      </c>
      <c r="F256" s="7" t="inlineStr">
        <is>
          <t>DevOps</t>
        </is>
      </c>
      <c r="G256" s="7" t="inlineStr">
        <is>
          <t>S10</t>
        </is>
      </c>
      <c r="H256" s="7" t="n">
        <v>0.5</v>
      </c>
      <c r="I256" s="7" t="inlineStr"/>
      <c r="J256" s="7" t="inlineStr"/>
      <c r="K256" s="7" t="inlineStr">
        <is>
          <t>T-1001</t>
        </is>
      </c>
      <c r="L256" s="7" t="inlineStr"/>
      <c r="M256" s="7" t="inlineStr">
        <is>
          <t>Planned</t>
        </is>
      </c>
      <c r="N256" s="7" t="inlineStr">
        <is>
          <t>Group 2; SAS owner SAS3</t>
        </is>
      </c>
    </row>
    <row r="257">
      <c r="A257" s="7" t="inlineStr">
        <is>
          <t>Task</t>
        </is>
      </c>
      <c r="B257" s="7" t="inlineStr">
        <is>
          <t>T-W10</t>
        </is>
      </c>
      <c r="C257" s="7" t="inlineStr">
        <is>
          <t>ST-1003</t>
        </is>
      </c>
      <c r="D257" s="7" t="inlineStr">
        <is>
          <t>E10</t>
        </is>
      </c>
      <c r="E257" s="7" t="inlineStr">
        <is>
          <t>Wave review + ABSA checkpoint (S10)</t>
        </is>
      </c>
      <c r="F257" s="7" t="inlineStr">
        <is>
          <t>TL</t>
        </is>
      </c>
      <c r="G257" s="7" t="inlineStr">
        <is>
          <t>S10</t>
        </is>
      </c>
      <c r="H257" s="7" t="n">
        <v>0.5</v>
      </c>
      <c r="I257" s="7" t="inlineStr"/>
      <c r="J257" s="7" t="inlineStr"/>
      <c r="K257" s="7" t="inlineStr"/>
      <c r="L257" s="7" t="inlineStr"/>
      <c r="M257" s="7" t="inlineStr">
        <is>
          <t>Planned</t>
        </is>
      </c>
      <c r="N257" s="7" t="inlineStr"/>
    </row>
    <row r="258">
      <c r="A258" s="6" t="inlineStr">
        <is>
          <t>Story</t>
        </is>
      </c>
      <c r="B258" s="6" t="inlineStr">
        <is>
          <t>ST-1004</t>
        </is>
      </c>
      <c r="C258" s="6" t="inlineStr">
        <is>
          <t>E10</t>
        </is>
      </c>
      <c r="D258" s="6" t="inlineStr">
        <is>
          <t>E10</t>
        </is>
      </c>
      <c r="E258" s="6" t="inlineStr">
        <is>
          <t>Wave 3: models 9-10 - ALL 10 LIVE</t>
        </is>
      </c>
      <c r="F258" s="6" t="inlineStr"/>
      <c r="G258" s="6" t="inlineStr">
        <is>
          <t>S11</t>
        </is>
      </c>
      <c r="H258" s="6" t="n">
        <v>23.5</v>
      </c>
      <c r="I258" s="6" t="n">
        <v>13</v>
      </c>
      <c r="J258" s="6" t="inlineStr">
        <is>
          <t>Must</t>
        </is>
      </c>
      <c r="K258" s="6" t="inlineStr"/>
      <c r="L258" s="6" t="inlineStr"/>
      <c r="M258" s="6" t="inlineStr"/>
      <c r="N258" s="6" t="inlineStr">
        <is>
          <t>Final 2 models scoring; all 10 models live by end S11; 3rd SAS dev floats on reconciliation/defects.</t>
        </is>
      </c>
    </row>
    <row r="259">
      <c r="A259" s="7" t="inlineStr">
        <is>
          <t>Task</t>
        </is>
      </c>
      <c r="B259" s="7" t="inlineStr">
        <is>
          <t>T-M09-DC</t>
        </is>
      </c>
      <c r="C259" s="7" t="inlineStr">
        <is>
          <t>ST-1004</t>
        </is>
      </c>
      <c r="D259" s="7" t="inlineStr">
        <is>
          <t>E10</t>
        </is>
      </c>
      <c r="E259" s="7" t="inlineStr">
        <is>
          <t>Model 9: contract + input schema</t>
        </is>
      </c>
      <c r="F259" s="7" t="inlineStr">
        <is>
          <t>DE</t>
        </is>
      </c>
      <c r="G259" s="7" t="inlineStr">
        <is>
          <t>S11</t>
        </is>
      </c>
      <c r="H259" s="7" t="n">
        <v>1</v>
      </c>
      <c r="I259" s="7" t="inlineStr"/>
      <c r="J259" s="7" t="inlineStr"/>
      <c r="K259" s="7" t="inlineStr">
        <is>
          <t>T-1001</t>
        </is>
      </c>
      <c r="L259" s="7" t="inlineStr"/>
      <c r="M259" s="7" t="inlineStr">
        <is>
          <t>Planned</t>
        </is>
      </c>
      <c r="N259" s="7" t="inlineStr">
        <is>
          <t>Group 2; SAS owner SAS</t>
        </is>
      </c>
    </row>
    <row r="260">
      <c r="A260" s="7" t="inlineStr">
        <is>
          <t>Task</t>
        </is>
      </c>
      <c r="B260" s="7" t="inlineStr">
        <is>
          <t>T-M09-DQ</t>
        </is>
      </c>
      <c r="C260" s="7" t="inlineStr">
        <is>
          <t>ST-1004</t>
        </is>
      </c>
      <c r="D260" s="7" t="inlineStr">
        <is>
          <t>E10</t>
        </is>
      </c>
      <c r="E260" s="7" t="inlineStr">
        <is>
          <t>Model 9: DQ rules + verification</t>
        </is>
      </c>
      <c r="F260" s="7" t="inlineStr">
        <is>
          <t>DE</t>
        </is>
      </c>
      <c r="G260" s="7" t="inlineStr">
        <is>
          <t>S11</t>
        </is>
      </c>
      <c r="H260" s="7" t="n">
        <v>0.5</v>
      </c>
      <c r="I260" s="7" t="inlineStr"/>
      <c r="J260" s="7" t="inlineStr"/>
      <c r="K260" s="7" t="inlineStr">
        <is>
          <t>T-1001</t>
        </is>
      </c>
      <c r="L260" s="7" t="inlineStr"/>
      <c r="M260" s="7" t="inlineStr">
        <is>
          <t>Planned</t>
        </is>
      </c>
      <c r="N260" s="7" t="inlineStr">
        <is>
          <t>Group 2; SAS owner SAS</t>
        </is>
      </c>
    </row>
    <row r="261">
      <c r="A261" s="7" t="inlineStr">
        <is>
          <t>Task</t>
        </is>
      </c>
      <c r="B261" s="7" t="inlineStr">
        <is>
          <t>T-M09-RV</t>
        </is>
      </c>
      <c r="C261" s="7" t="inlineStr">
        <is>
          <t>ST-1004</t>
        </is>
      </c>
      <c r="D261" s="7" t="inlineStr">
        <is>
          <t>E10</t>
        </is>
      </c>
      <c r="E261" s="7" t="inlineStr">
        <is>
          <t>Model 9: code review vs benchmark spec</t>
        </is>
      </c>
      <c r="F261" s="7" t="inlineStr">
        <is>
          <t>SAS</t>
        </is>
      </c>
      <c r="G261" s="7" t="inlineStr">
        <is>
          <t>S11</t>
        </is>
      </c>
      <c r="H261" s="7" t="n">
        <v>1</v>
      </c>
      <c r="I261" s="7" t="inlineStr"/>
      <c r="J261" s="7" t="inlineStr"/>
      <c r="K261" s="7" t="inlineStr">
        <is>
          <t>T-1001</t>
        </is>
      </c>
      <c r="L261" s="7" t="inlineStr"/>
      <c r="M261" s="7" t="inlineStr">
        <is>
          <t>Planned</t>
        </is>
      </c>
      <c r="N261" s="7" t="inlineStr">
        <is>
          <t>Group 2; SAS owner SAS</t>
        </is>
      </c>
    </row>
    <row r="262">
      <c r="A262" s="7" t="inlineStr">
        <is>
          <t>Task</t>
        </is>
      </c>
      <c r="B262" s="7" t="inlineStr">
        <is>
          <t>T-M09-OPT</t>
        </is>
      </c>
      <c r="C262" s="7" t="inlineStr">
        <is>
          <t>ST-1004</t>
        </is>
      </c>
      <c r="D262" s="7" t="inlineStr">
        <is>
          <t>E10</t>
        </is>
      </c>
      <c r="E262" s="7" t="inlineStr">
        <is>
          <t>Model 9: profile + optimize + unit-test scoring code</t>
        </is>
      </c>
      <c r="F262" s="7" t="inlineStr">
        <is>
          <t>SAS</t>
        </is>
      </c>
      <c r="G262" s="7" t="inlineStr">
        <is>
          <t>S11</t>
        </is>
      </c>
      <c r="H262" s="7" t="n">
        <v>2.5</v>
      </c>
      <c r="I262" s="7" t="inlineStr"/>
      <c r="J262" s="7" t="inlineStr"/>
      <c r="K262" s="7" t="inlineStr">
        <is>
          <t>T-1001</t>
        </is>
      </c>
      <c r="L262" s="7" t="inlineStr"/>
      <c r="M262" s="7" t="inlineStr">
        <is>
          <t>Planned</t>
        </is>
      </c>
      <c r="N262" s="7" t="inlineStr">
        <is>
          <t>Group 2; SAS owner SAS</t>
        </is>
      </c>
    </row>
    <row r="263">
      <c r="A263" s="7" t="inlineStr">
        <is>
          <t>Task</t>
        </is>
      </c>
      <c r="B263" s="7" t="inlineStr">
        <is>
          <t>T-M09-PKG</t>
        </is>
      </c>
      <c r="C263" s="7" t="inlineStr">
        <is>
          <t>ST-1004</t>
        </is>
      </c>
      <c r="D263" s="7" t="inlineStr">
        <is>
          <t>E10</t>
        </is>
      </c>
      <c r="E263" s="7" t="inlineStr">
        <is>
          <t>Model 9: package per ADR-0010 + code-intake green</t>
        </is>
      </c>
      <c r="F263" s="7" t="inlineStr">
        <is>
          <t>SAS</t>
        </is>
      </c>
      <c r="G263" s="7" t="inlineStr">
        <is>
          <t>S11</t>
        </is>
      </c>
      <c r="H263" s="7" t="n">
        <v>0.5</v>
      </c>
      <c r="I263" s="7" t="inlineStr"/>
      <c r="J263" s="7" t="inlineStr"/>
      <c r="K263" s="7" t="inlineStr">
        <is>
          <t>T-1001</t>
        </is>
      </c>
      <c r="L263" s="7" t="inlineStr"/>
      <c r="M263" s="7" t="inlineStr">
        <is>
          <t>Planned</t>
        </is>
      </c>
      <c r="N263" s="7" t="inlineStr">
        <is>
          <t>Group 2; SAS owner SAS</t>
        </is>
      </c>
    </row>
    <row r="264">
      <c r="A264" s="7" t="inlineStr">
        <is>
          <t>Task</t>
        </is>
      </c>
      <c r="B264" s="7" t="inlineStr">
        <is>
          <t>T-M09-REC</t>
        </is>
      </c>
      <c r="C264" s="7" t="inlineStr">
        <is>
          <t>ST-1004</t>
        </is>
      </c>
      <c r="D264" s="7" t="inlineStr">
        <is>
          <t>E10</t>
        </is>
      </c>
      <c r="E264" s="7" t="inlineStr">
        <is>
          <t>Model 9: reconcile vs benchmark + defect fix</t>
        </is>
      </c>
      <c r="F264" s="7" t="inlineStr">
        <is>
          <t>SAS</t>
        </is>
      </c>
      <c r="G264" s="7" t="inlineStr">
        <is>
          <t>S11</t>
        </is>
      </c>
      <c r="H264" s="7" t="n">
        <v>1.5</v>
      </c>
      <c r="I264" s="7" t="inlineStr"/>
      <c r="J264" s="7" t="inlineStr"/>
      <c r="K264" s="7" t="inlineStr">
        <is>
          <t>T-1001</t>
        </is>
      </c>
      <c r="L264" s="7" t="inlineStr"/>
      <c r="M264" s="7" t="inlineStr">
        <is>
          <t>Planned</t>
        </is>
      </c>
      <c r="N264" s="7" t="inlineStr">
        <is>
          <t>Group 2; SAS owner SAS</t>
        </is>
      </c>
    </row>
    <row r="265">
      <c r="A265" s="7" t="inlineStr">
        <is>
          <t>Task</t>
        </is>
      </c>
      <c r="B265" s="7" t="inlineStr">
        <is>
          <t>T-M09-PIR</t>
        </is>
      </c>
      <c r="C265" s="7" t="inlineStr">
        <is>
          <t>ST-1004</t>
        </is>
      </c>
      <c r="D265" s="7" t="inlineStr">
        <is>
          <t>E10</t>
        </is>
      </c>
      <c r="E265" s="7" t="inlineStr">
        <is>
          <t>Model 9: PIR pack + sign-off prep</t>
        </is>
      </c>
      <c r="F265" s="7" t="inlineStr">
        <is>
          <t>SAS</t>
        </is>
      </c>
      <c r="G265" s="7" t="inlineStr">
        <is>
          <t>S11</t>
        </is>
      </c>
      <c r="H265" s="7" t="n">
        <v>0.5</v>
      </c>
      <c r="I265" s="7" t="inlineStr"/>
      <c r="J265" s="7" t="inlineStr"/>
      <c r="K265" s="7" t="inlineStr">
        <is>
          <t>T-1001</t>
        </is>
      </c>
      <c r="L265" s="7" t="inlineStr"/>
      <c r="M265" s="7" t="inlineStr">
        <is>
          <t>Planned</t>
        </is>
      </c>
      <c r="N265" s="7" t="inlineStr">
        <is>
          <t>Group 2; SAS owner SAS</t>
        </is>
      </c>
    </row>
    <row r="266">
      <c r="A266" s="7" t="inlineStr">
        <is>
          <t>Task</t>
        </is>
      </c>
      <c r="B266" s="7" t="inlineStr">
        <is>
          <t>T-M09-IDD</t>
        </is>
      </c>
      <c r="C266" s="7" t="inlineStr">
        <is>
          <t>ST-1004</t>
        </is>
      </c>
      <c r="D266" s="7" t="inlineStr">
        <is>
          <t>E10</t>
        </is>
      </c>
      <c r="E266" s="7" t="inlineStr">
        <is>
          <t>Model 9: implementation doc: generate (IDG) + approve</t>
        </is>
      </c>
      <c r="F266" s="7" t="inlineStr">
        <is>
          <t>SAS</t>
        </is>
      </c>
      <c r="G266" s="7" t="inlineStr">
        <is>
          <t>S11</t>
        </is>
      </c>
      <c r="H266" s="7" t="n">
        <v>0.5</v>
      </c>
      <c r="I266" s="7" t="inlineStr"/>
      <c r="J266" s="7" t="inlineStr"/>
      <c r="K266" s="7" t="inlineStr">
        <is>
          <t>T-1001</t>
        </is>
      </c>
      <c r="L266" s="7" t="inlineStr"/>
      <c r="M266" s="7" t="inlineStr">
        <is>
          <t>Planned</t>
        </is>
      </c>
      <c r="N266" s="7" t="inlineStr">
        <is>
          <t>Group 2; SAS owner SAS</t>
        </is>
      </c>
    </row>
    <row r="267">
      <c r="A267" s="7" t="inlineStr">
        <is>
          <t>Task</t>
        </is>
      </c>
      <c r="B267" s="7" t="inlineStr">
        <is>
          <t>T-M09-PIPE</t>
        </is>
      </c>
      <c r="C267" s="7" t="inlineStr">
        <is>
          <t>ST-1004</t>
        </is>
      </c>
      <c r="D267" s="7" t="inlineStr">
        <is>
          <t>E10</t>
        </is>
      </c>
      <c r="E267" s="7" t="inlineStr">
        <is>
          <t>Model 9: pipeline config + EventBridge schedule</t>
        </is>
      </c>
      <c r="F267" s="7" t="inlineStr">
        <is>
          <t>AWS</t>
        </is>
      </c>
      <c r="G267" s="7" t="inlineStr">
        <is>
          <t>S11</t>
        </is>
      </c>
      <c r="H267" s="7" t="n">
        <v>0.5</v>
      </c>
      <c r="I267" s="7" t="inlineStr"/>
      <c r="J267" s="7" t="inlineStr"/>
      <c r="K267" s="7" t="inlineStr">
        <is>
          <t>T-1001</t>
        </is>
      </c>
      <c r="L267" s="7" t="inlineStr"/>
      <c r="M267" s="7" t="inlineStr">
        <is>
          <t>Planned</t>
        </is>
      </c>
      <c r="N267" s="7" t="inlineStr">
        <is>
          <t>Group 2; SAS owner SAS</t>
        </is>
      </c>
    </row>
    <row r="268">
      <c r="A268" s="7" t="inlineStr">
        <is>
          <t>Task</t>
        </is>
      </c>
      <c r="B268" s="7" t="inlineStr">
        <is>
          <t>T-M09-DEP</t>
        </is>
      </c>
      <c r="C268" s="7" t="inlineStr">
        <is>
          <t>ST-1004</t>
        </is>
      </c>
      <c r="D268" s="7" t="inlineStr">
        <is>
          <t>E10</t>
        </is>
      </c>
      <c r="E268" s="7" t="inlineStr">
        <is>
          <t>Model 9: deploy to prod + smoke</t>
        </is>
      </c>
      <c r="F268" s="7" t="inlineStr">
        <is>
          <t>AWS</t>
        </is>
      </c>
      <c r="G268" s="7" t="inlineStr">
        <is>
          <t>S11</t>
        </is>
      </c>
      <c r="H268" s="7" t="n">
        <v>0.5</v>
      </c>
      <c r="I268" s="7" t="inlineStr"/>
      <c r="J268" s="7" t="inlineStr"/>
      <c r="K268" s="7" t="inlineStr">
        <is>
          <t>T-1001</t>
        </is>
      </c>
      <c r="L268" s="7" t="inlineStr"/>
      <c r="M268" s="7" t="inlineStr">
        <is>
          <t>Planned</t>
        </is>
      </c>
      <c r="N268" s="7" t="inlineStr">
        <is>
          <t>Group 2; SAS owner SAS</t>
        </is>
      </c>
    </row>
    <row r="269">
      <c r="A269" s="7" t="inlineStr">
        <is>
          <t>Task</t>
        </is>
      </c>
      <c r="B269" s="7" t="inlineStr">
        <is>
          <t>T-M09-MON</t>
        </is>
      </c>
      <c r="C269" s="7" t="inlineStr">
        <is>
          <t>ST-1004</t>
        </is>
      </c>
      <c r="D269" s="7" t="inlineStr">
        <is>
          <t>E10</t>
        </is>
      </c>
      <c r="E269" s="7" t="inlineStr">
        <is>
          <t>Model 9: CI + monitoring wiring</t>
        </is>
      </c>
      <c r="F269" s="7" t="inlineStr">
        <is>
          <t>DevOps</t>
        </is>
      </c>
      <c r="G269" s="7" t="inlineStr">
        <is>
          <t>S11</t>
        </is>
      </c>
      <c r="H269" s="7" t="n">
        <v>0.5</v>
      </c>
      <c r="I269" s="7" t="inlineStr"/>
      <c r="J269" s="7" t="inlineStr"/>
      <c r="K269" s="7" t="inlineStr">
        <is>
          <t>T-1001</t>
        </is>
      </c>
      <c r="L269" s="7" t="inlineStr"/>
      <c r="M269" s="7" t="inlineStr">
        <is>
          <t>Planned</t>
        </is>
      </c>
      <c r="N269" s="7" t="inlineStr">
        <is>
          <t>Group 2; SAS owner SAS</t>
        </is>
      </c>
    </row>
    <row r="270">
      <c r="A270" s="7" t="inlineStr">
        <is>
          <t>Task</t>
        </is>
      </c>
      <c r="B270" s="7" t="inlineStr">
        <is>
          <t>T-M10-DC</t>
        </is>
      </c>
      <c r="C270" s="7" t="inlineStr">
        <is>
          <t>ST-1004</t>
        </is>
      </c>
      <c r="D270" s="7" t="inlineStr">
        <is>
          <t>E10</t>
        </is>
      </c>
      <c r="E270" s="7" t="inlineStr">
        <is>
          <t>Model 10: contract + input schema</t>
        </is>
      </c>
      <c r="F270" s="7" t="inlineStr">
        <is>
          <t>DE</t>
        </is>
      </c>
      <c r="G270" s="7" t="inlineStr">
        <is>
          <t>S11</t>
        </is>
      </c>
      <c r="H270" s="7" t="n">
        <v>1</v>
      </c>
      <c r="I270" s="7" t="inlineStr"/>
      <c r="J270" s="7" t="inlineStr"/>
      <c r="K270" s="7" t="inlineStr">
        <is>
          <t>T-1001</t>
        </is>
      </c>
      <c r="L270" s="7" t="inlineStr"/>
      <c r="M270" s="7" t="inlineStr">
        <is>
          <t>Planned</t>
        </is>
      </c>
      <c r="N270" s="7" t="inlineStr">
        <is>
          <t>Group 2; SAS owner SAS2</t>
        </is>
      </c>
    </row>
    <row r="271">
      <c r="A271" s="7" t="inlineStr">
        <is>
          <t>Task</t>
        </is>
      </c>
      <c r="B271" s="7" t="inlineStr">
        <is>
          <t>T-M10-DQ</t>
        </is>
      </c>
      <c r="C271" s="7" t="inlineStr">
        <is>
          <t>ST-1004</t>
        </is>
      </c>
      <c r="D271" s="7" t="inlineStr">
        <is>
          <t>E10</t>
        </is>
      </c>
      <c r="E271" s="7" t="inlineStr">
        <is>
          <t>Model 10: DQ rules + verification</t>
        </is>
      </c>
      <c r="F271" s="7" t="inlineStr">
        <is>
          <t>DE</t>
        </is>
      </c>
      <c r="G271" s="7" t="inlineStr">
        <is>
          <t>S11</t>
        </is>
      </c>
      <c r="H271" s="7" t="n">
        <v>0.5</v>
      </c>
      <c r="I271" s="7" t="inlineStr"/>
      <c r="J271" s="7" t="inlineStr"/>
      <c r="K271" s="7" t="inlineStr">
        <is>
          <t>T-1001</t>
        </is>
      </c>
      <c r="L271" s="7" t="inlineStr"/>
      <c r="M271" s="7" t="inlineStr">
        <is>
          <t>Planned</t>
        </is>
      </c>
      <c r="N271" s="7" t="inlineStr">
        <is>
          <t>Group 2; SAS owner SAS2</t>
        </is>
      </c>
    </row>
    <row r="272">
      <c r="A272" s="7" t="inlineStr">
        <is>
          <t>Task</t>
        </is>
      </c>
      <c r="B272" s="7" t="inlineStr">
        <is>
          <t>T-M10-RV</t>
        </is>
      </c>
      <c r="C272" s="7" t="inlineStr">
        <is>
          <t>ST-1004</t>
        </is>
      </c>
      <c r="D272" s="7" t="inlineStr">
        <is>
          <t>E10</t>
        </is>
      </c>
      <c r="E272" s="7" t="inlineStr">
        <is>
          <t>Model 10: code review vs benchmark spec</t>
        </is>
      </c>
      <c r="F272" s="7" t="inlineStr">
        <is>
          <t>SAS2</t>
        </is>
      </c>
      <c r="G272" s="7" t="inlineStr">
        <is>
          <t>S11</t>
        </is>
      </c>
      <c r="H272" s="7" t="n">
        <v>1</v>
      </c>
      <c r="I272" s="7" t="inlineStr"/>
      <c r="J272" s="7" t="inlineStr"/>
      <c r="K272" s="7" t="inlineStr">
        <is>
          <t>T-1001</t>
        </is>
      </c>
      <c r="L272" s="7" t="inlineStr"/>
      <c r="M272" s="7" t="inlineStr">
        <is>
          <t>Planned</t>
        </is>
      </c>
      <c r="N272" s="7" t="inlineStr">
        <is>
          <t>Group 2; SAS owner SAS2</t>
        </is>
      </c>
    </row>
    <row r="273">
      <c r="A273" s="7" t="inlineStr">
        <is>
          <t>Task</t>
        </is>
      </c>
      <c r="B273" s="7" t="inlineStr">
        <is>
          <t>T-M10-OPT</t>
        </is>
      </c>
      <c r="C273" s="7" t="inlineStr">
        <is>
          <t>ST-1004</t>
        </is>
      </c>
      <c r="D273" s="7" t="inlineStr">
        <is>
          <t>E10</t>
        </is>
      </c>
      <c r="E273" s="7" t="inlineStr">
        <is>
          <t>Model 10: profile + optimize + unit-test scoring code</t>
        </is>
      </c>
      <c r="F273" s="7" t="inlineStr">
        <is>
          <t>SAS2</t>
        </is>
      </c>
      <c r="G273" s="7" t="inlineStr">
        <is>
          <t>S11</t>
        </is>
      </c>
      <c r="H273" s="7" t="n">
        <v>2.5</v>
      </c>
      <c r="I273" s="7" t="inlineStr"/>
      <c r="J273" s="7" t="inlineStr"/>
      <c r="K273" s="7" t="inlineStr">
        <is>
          <t>T-1001</t>
        </is>
      </c>
      <c r="L273" s="7" t="inlineStr"/>
      <c r="M273" s="7" t="inlineStr">
        <is>
          <t>Planned</t>
        </is>
      </c>
      <c r="N273" s="7" t="inlineStr">
        <is>
          <t>Group 2; SAS owner SAS2</t>
        </is>
      </c>
    </row>
    <row r="274">
      <c r="A274" s="7" t="inlineStr">
        <is>
          <t>Task</t>
        </is>
      </c>
      <c r="B274" s="7" t="inlineStr">
        <is>
          <t>T-M10-PKG</t>
        </is>
      </c>
      <c r="C274" s="7" t="inlineStr">
        <is>
          <t>ST-1004</t>
        </is>
      </c>
      <c r="D274" s="7" t="inlineStr">
        <is>
          <t>E10</t>
        </is>
      </c>
      <c r="E274" s="7" t="inlineStr">
        <is>
          <t>Model 10: package per ADR-0010 + code-intake green</t>
        </is>
      </c>
      <c r="F274" s="7" t="inlineStr">
        <is>
          <t>SAS2</t>
        </is>
      </c>
      <c r="G274" s="7" t="inlineStr">
        <is>
          <t>S11</t>
        </is>
      </c>
      <c r="H274" s="7" t="n">
        <v>0.5</v>
      </c>
      <c r="I274" s="7" t="inlineStr"/>
      <c r="J274" s="7" t="inlineStr"/>
      <c r="K274" s="7" t="inlineStr">
        <is>
          <t>T-1001</t>
        </is>
      </c>
      <c r="L274" s="7" t="inlineStr"/>
      <c r="M274" s="7" t="inlineStr">
        <is>
          <t>Planned</t>
        </is>
      </c>
      <c r="N274" s="7" t="inlineStr">
        <is>
          <t>Group 2; SAS owner SAS2</t>
        </is>
      </c>
    </row>
    <row r="275">
      <c r="A275" s="7" t="inlineStr">
        <is>
          <t>Task</t>
        </is>
      </c>
      <c r="B275" s="7" t="inlineStr">
        <is>
          <t>T-M10-REC</t>
        </is>
      </c>
      <c r="C275" s="7" t="inlineStr">
        <is>
          <t>ST-1004</t>
        </is>
      </c>
      <c r="D275" s="7" t="inlineStr">
        <is>
          <t>E10</t>
        </is>
      </c>
      <c r="E275" s="7" t="inlineStr">
        <is>
          <t>Model 10: reconcile vs benchmark + defect fix</t>
        </is>
      </c>
      <c r="F275" s="7" t="inlineStr">
        <is>
          <t>SAS2</t>
        </is>
      </c>
      <c r="G275" s="7" t="inlineStr">
        <is>
          <t>S11</t>
        </is>
      </c>
      <c r="H275" s="7" t="n">
        <v>1.5</v>
      </c>
      <c r="I275" s="7" t="inlineStr"/>
      <c r="J275" s="7" t="inlineStr"/>
      <c r="K275" s="7" t="inlineStr">
        <is>
          <t>T-1001</t>
        </is>
      </c>
      <c r="L275" s="7" t="inlineStr"/>
      <c r="M275" s="7" t="inlineStr">
        <is>
          <t>Planned</t>
        </is>
      </c>
      <c r="N275" s="7" t="inlineStr">
        <is>
          <t>Group 2; SAS owner SAS2</t>
        </is>
      </c>
    </row>
    <row r="276">
      <c r="A276" s="7" t="inlineStr">
        <is>
          <t>Task</t>
        </is>
      </c>
      <c r="B276" s="7" t="inlineStr">
        <is>
          <t>T-M10-PIR</t>
        </is>
      </c>
      <c r="C276" s="7" t="inlineStr">
        <is>
          <t>ST-1004</t>
        </is>
      </c>
      <c r="D276" s="7" t="inlineStr">
        <is>
          <t>E10</t>
        </is>
      </c>
      <c r="E276" s="7" t="inlineStr">
        <is>
          <t>Model 10: PIR pack + sign-off prep</t>
        </is>
      </c>
      <c r="F276" s="7" t="inlineStr">
        <is>
          <t>SAS2</t>
        </is>
      </c>
      <c r="G276" s="7" t="inlineStr">
        <is>
          <t>S11</t>
        </is>
      </c>
      <c r="H276" s="7" t="n">
        <v>0.5</v>
      </c>
      <c r="I276" s="7" t="inlineStr"/>
      <c r="J276" s="7" t="inlineStr"/>
      <c r="K276" s="7" t="inlineStr">
        <is>
          <t>T-1001</t>
        </is>
      </c>
      <c r="L276" s="7" t="inlineStr"/>
      <c r="M276" s="7" t="inlineStr">
        <is>
          <t>Planned</t>
        </is>
      </c>
      <c r="N276" s="7" t="inlineStr">
        <is>
          <t>Group 2; SAS owner SAS2</t>
        </is>
      </c>
    </row>
    <row r="277">
      <c r="A277" s="7" t="inlineStr">
        <is>
          <t>Task</t>
        </is>
      </c>
      <c r="B277" s="7" t="inlineStr">
        <is>
          <t>T-M10-IDD</t>
        </is>
      </c>
      <c r="C277" s="7" t="inlineStr">
        <is>
          <t>ST-1004</t>
        </is>
      </c>
      <c r="D277" s="7" t="inlineStr">
        <is>
          <t>E10</t>
        </is>
      </c>
      <c r="E277" s="7" t="inlineStr">
        <is>
          <t>Model 10: implementation doc: generate (IDG) + approve</t>
        </is>
      </c>
      <c r="F277" s="7" t="inlineStr">
        <is>
          <t>SAS2</t>
        </is>
      </c>
      <c r="G277" s="7" t="inlineStr">
        <is>
          <t>S11</t>
        </is>
      </c>
      <c r="H277" s="7" t="n">
        <v>0.5</v>
      </c>
      <c r="I277" s="7" t="inlineStr"/>
      <c r="J277" s="7" t="inlineStr"/>
      <c r="K277" s="7" t="inlineStr">
        <is>
          <t>T-1001</t>
        </is>
      </c>
      <c r="L277" s="7" t="inlineStr"/>
      <c r="M277" s="7" t="inlineStr">
        <is>
          <t>Planned</t>
        </is>
      </c>
      <c r="N277" s="7" t="inlineStr">
        <is>
          <t>Group 2; SAS owner SAS2</t>
        </is>
      </c>
    </row>
    <row r="278">
      <c r="A278" s="7" t="inlineStr">
        <is>
          <t>Task</t>
        </is>
      </c>
      <c r="B278" s="7" t="inlineStr">
        <is>
          <t>T-M10-PIPE</t>
        </is>
      </c>
      <c r="C278" s="7" t="inlineStr">
        <is>
          <t>ST-1004</t>
        </is>
      </c>
      <c r="D278" s="7" t="inlineStr">
        <is>
          <t>E10</t>
        </is>
      </c>
      <c r="E278" s="7" t="inlineStr">
        <is>
          <t>Model 10: pipeline config + EventBridge schedule</t>
        </is>
      </c>
      <c r="F278" s="7" t="inlineStr">
        <is>
          <t>AWS</t>
        </is>
      </c>
      <c r="G278" s="7" t="inlineStr">
        <is>
          <t>S11</t>
        </is>
      </c>
      <c r="H278" s="7" t="n">
        <v>0.5</v>
      </c>
      <c r="I278" s="7" t="inlineStr"/>
      <c r="J278" s="7" t="inlineStr"/>
      <c r="K278" s="7" t="inlineStr">
        <is>
          <t>T-1001</t>
        </is>
      </c>
      <c r="L278" s="7" t="inlineStr"/>
      <c r="M278" s="7" t="inlineStr">
        <is>
          <t>Planned</t>
        </is>
      </c>
      <c r="N278" s="7" t="inlineStr">
        <is>
          <t>Group 2; SAS owner SAS2</t>
        </is>
      </c>
    </row>
    <row r="279">
      <c r="A279" s="7" t="inlineStr">
        <is>
          <t>Task</t>
        </is>
      </c>
      <c r="B279" s="7" t="inlineStr">
        <is>
          <t>T-M10-DEP</t>
        </is>
      </c>
      <c r="C279" s="7" t="inlineStr">
        <is>
          <t>ST-1004</t>
        </is>
      </c>
      <c r="D279" s="7" t="inlineStr">
        <is>
          <t>E10</t>
        </is>
      </c>
      <c r="E279" s="7" t="inlineStr">
        <is>
          <t>Model 10: deploy to prod + smoke</t>
        </is>
      </c>
      <c r="F279" s="7" t="inlineStr">
        <is>
          <t>AWS</t>
        </is>
      </c>
      <c r="G279" s="7" t="inlineStr">
        <is>
          <t>S11</t>
        </is>
      </c>
      <c r="H279" s="7" t="n">
        <v>0.5</v>
      </c>
      <c r="I279" s="7" t="inlineStr"/>
      <c r="J279" s="7" t="inlineStr"/>
      <c r="K279" s="7" t="inlineStr">
        <is>
          <t>T-1001</t>
        </is>
      </c>
      <c r="L279" s="7" t="inlineStr"/>
      <c r="M279" s="7" t="inlineStr">
        <is>
          <t>Planned</t>
        </is>
      </c>
      <c r="N279" s="7" t="inlineStr">
        <is>
          <t>Group 2; SAS owner SAS2</t>
        </is>
      </c>
    </row>
    <row r="280">
      <c r="A280" s="7" t="inlineStr">
        <is>
          <t>Task</t>
        </is>
      </c>
      <c r="B280" s="7" t="inlineStr">
        <is>
          <t>T-M10-MON</t>
        </is>
      </c>
      <c r="C280" s="7" t="inlineStr">
        <is>
          <t>ST-1004</t>
        </is>
      </c>
      <c r="D280" s="7" t="inlineStr">
        <is>
          <t>E10</t>
        </is>
      </c>
      <c r="E280" s="7" t="inlineStr">
        <is>
          <t>Model 10: CI + monitoring wiring</t>
        </is>
      </c>
      <c r="F280" s="7" t="inlineStr">
        <is>
          <t>DevOps</t>
        </is>
      </c>
      <c r="G280" s="7" t="inlineStr">
        <is>
          <t>S11</t>
        </is>
      </c>
      <c r="H280" s="7" t="n">
        <v>0.5</v>
      </c>
      <c r="I280" s="7" t="inlineStr"/>
      <c r="J280" s="7" t="inlineStr"/>
      <c r="K280" s="7" t="inlineStr">
        <is>
          <t>T-1001</t>
        </is>
      </c>
      <c r="L280" s="7" t="inlineStr"/>
      <c r="M280" s="7" t="inlineStr">
        <is>
          <t>Planned</t>
        </is>
      </c>
      <c r="N280" s="7" t="inlineStr">
        <is>
          <t>Group 2; SAS owner SAS2</t>
        </is>
      </c>
    </row>
    <row r="281">
      <c r="A281" s="7" t="inlineStr">
        <is>
          <t>Task</t>
        </is>
      </c>
      <c r="B281" s="7" t="inlineStr">
        <is>
          <t>T-M-FLOAT</t>
        </is>
      </c>
      <c r="C281" s="7" t="inlineStr">
        <is>
          <t>ST-1004</t>
        </is>
      </c>
      <c r="D281" s="7" t="inlineStr">
        <is>
          <t>E10</t>
        </is>
      </c>
      <c r="E281" s="7" t="inlineStr">
        <is>
          <t>Reconciliation depth + defect sweep across wave 3</t>
        </is>
      </c>
      <c r="F281" s="7" t="inlineStr">
        <is>
          <t>SAS3</t>
        </is>
      </c>
      <c r="G281" s="7" t="inlineStr">
        <is>
          <t>S11</t>
        </is>
      </c>
      <c r="H281" s="7" t="n">
        <v>4</v>
      </c>
      <c r="I281" s="7" t="inlineStr"/>
      <c r="J281" s="7" t="inlineStr"/>
      <c r="K281" s="7" t="inlineStr">
        <is>
          <t>T-M09-OPT,T-M10-OPT</t>
        </is>
      </c>
      <c r="L281" s="7" t="inlineStr"/>
      <c r="M281" s="7" t="inlineStr">
        <is>
          <t>Planned</t>
        </is>
      </c>
      <c r="N281" s="7" t="inlineStr">
        <is>
          <t>Spare SAS capacity = defect buffer</t>
        </is>
      </c>
    </row>
    <row r="282">
      <c r="A282" s="7" t="inlineStr">
        <is>
          <t>Task</t>
        </is>
      </c>
      <c r="B282" s="7" t="inlineStr">
        <is>
          <t>T-W11</t>
        </is>
      </c>
      <c r="C282" s="7" t="inlineStr">
        <is>
          <t>ST-1004</t>
        </is>
      </c>
      <c r="D282" s="7" t="inlineStr">
        <is>
          <t>E10</t>
        </is>
      </c>
      <c r="E282" s="7" t="inlineStr">
        <is>
          <t>Wave review + ABSA checkpoint (S11)</t>
        </is>
      </c>
      <c r="F282" s="7" t="inlineStr">
        <is>
          <t>TL</t>
        </is>
      </c>
      <c r="G282" s="7" t="inlineStr">
        <is>
          <t>S11</t>
        </is>
      </c>
      <c r="H282" s="7" t="n">
        <v>0.5</v>
      </c>
      <c r="I282" s="7" t="inlineStr"/>
      <c r="J282" s="7" t="inlineStr"/>
      <c r="K282" s="7" t="inlineStr"/>
      <c r="L282" s="7" t="inlineStr"/>
      <c r="M282" s="7" t="inlineStr">
        <is>
          <t>Planned</t>
        </is>
      </c>
      <c r="N282" s="7" t="inlineStr"/>
    </row>
    <row r="283">
      <c r="A283" s="6" t="inlineStr">
        <is>
          <t>Story</t>
        </is>
      </c>
      <c r="B283" s="6" t="inlineStr">
        <is>
          <t>ST-1005</t>
        </is>
      </c>
      <c r="C283" s="6" t="inlineStr">
        <is>
          <t>E10</t>
        </is>
      </c>
      <c r="D283" s="6" t="inlineStr">
        <is>
          <t>E10</t>
        </is>
      </c>
      <c r="E283" s="6" t="inlineStr">
        <is>
          <t>S12 hardening + Group 2 sign-off</t>
        </is>
      </c>
      <c r="F283" s="6" t="inlineStr"/>
      <c r="G283" s="6" t="inlineStr">
        <is>
          <t>S12</t>
        </is>
      </c>
      <c r="H283" s="6" t="n">
        <v>11.5</v>
      </c>
      <c r="I283" s="6" t="n">
        <v>13</v>
      </c>
      <c r="J283" s="6" t="inlineStr">
        <is>
          <t>Must</t>
        </is>
      </c>
      <c r="K283" s="6" t="inlineStr"/>
      <c r="L283" s="6" t="inlineStr"/>
      <c r="M283" s="6" t="inlineStr"/>
      <c r="N283" s="6" t="inlineStr">
        <is>
          <t>No new models. Final reconciliation sweep, defect closure, KT; written Group 2 sign-off.</t>
        </is>
      </c>
    </row>
    <row r="284">
      <c r="A284" s="7" t="inlineStr">
        <is>
          <t>Task</t>
        </is>
      </c>
      <c r="B284" s="7" t="inlineStr">
        <is>
          <t>T-1025</t>
        </is>
      </c>
      <c r="C284" s="7" t="inlineStr">
        <is>
          <t>ST-1005</t>
        </is>
      </c>
      <c r="D284" s="7" t="inlineStr">
        <is>
          <t>E10</t>
        </is>
      </c>
      <c r="E284" s="7" t="inlineStr">
        <is>
          <t>Group 2 sign-off pack + ABSA meeting</t>
        </is>
      </c>
      <c r="F284" s="7" t="inlineStr">
        <is>
          <t>TL</t>
        </is>
      </c>
      <c r="G284" s="7" t="inlineStr">
        <is>
          <t>S12</t>
        </is>
      </c>
      <c r="H284" s="7" t="n">
        <v>2</v>
      </c>
      <c r="I284" s="7" t="inlineStr"/>
      <c r="J284" s="7" t="inlineStr"/>
      <c r="K284" s="7" t="inlineStr"/>
      <c r="L284" s="7" t="inlineStr"/>
      <c r="M284" s="7" t="inlineStr">
        <is>
          <t>Planned</t>
        </is>
      </c>
      <c r="N284" s="7" t="inlineStr">
        <is>
          <t>Closes initial onboarding scope</t>
        </is>
      </c>
    </row>
    <row r="285">
      <c r="A285" s="7" t="inlineStr">
        <is>
          <t>Task</t>
        </is>
      </c>
      <c r="B285" s="7" t="inlineStr">
        <is>
          <t>T-1501</t>
        </is>
      </c>
      <c r="C285" s="7" t="inlineStr">
        <is>
          <t>ST-1005</t>
        </is>
      </c>
      <c r="D285" s="7" t="inlineStr">
        <is>
          <t>E10</t>
        </is>
      </c>
      <c r="E285" s="7" t="inlineStr">
        <is>
          <t>Final cross-model reconciliation sweep + tolerance sign-off</t>
        </is>
      </c>
      <c r="F285" s="7" t="inlineStr">
        <is>
          <t>SAS</t>
        </is>
      </c>
      <c r="G285" s="7" t="inlineStr">
        <is>
          <t>S12</t>
        </is>
      </c>
      <c r="H285" s="7" t="n">
        <v>3</v>
      </c>
      <c r="I285" s="7" t="inlineStr"/>
      <c r="J285" s="7" t="inlineStr"/>
      <c r="K285" s="7" t="inlineStr"/>
      <c r="L285" s="7" t="inlineStr"/>
      <c r="M285" s="7" t="inlineStr">
        <is>
          <t>Planned</t>
        </is>
      </c>
      <c r="N285" s="7" t="inlineStr"/>
    </row>
    <row r="286">
      <c r="A286" s="7" t="inlineStr">
        <is>
          <t>Task</t>
        </is>
      </c>
      <c r="B286" s="7" t="inlineStr">
        <is>
          <t>T-1502</t>
        </is>
      </c>
      <c r="C286" s="7" t="inlineStr">
        <is>
          <t>ST-1005</t>
        </is>
      </c>
      <c r="D286" s="7" t="inlineStr">
        <is>
          <t>E10</t>
        </is>
      </c>
      <c r="E286" s="7" t="inlineStr">
        <is>
          <t>Group 2 defect closure + re-run verification</t>
        </is>
      </c>
      <c r="F286" s="7" t="inlineStr">
        <is>
          <t>SAS2</t>
        </is>
      </c>
      <c r="G286" s="7" t="inlineStr">
        <is>
          <t>S12</t>
        </is>
      </c>
      <c r="H286" s="7" t="n">
        <v>3</v>
      </c>
      <c r="I286" s="7" t="inlineStr"/>
      <c r="J286" s="7" t="inlineStr"/>
      <c r="K286" s="7" t="inlineStr"/>
      <c r="L286" s="7" t="inlineStr"/>
      <c r="M286" s="7" t="inlineStr">
        <is>
          <t>Planned</t>
        </is>
      </c>
      <c r="N286" s="7" t="inlineStr"/>
    </row>
    <row r="287">
      <c r="A287" s="7" t="inlineStr">
        <is>
          <t>Task</t>
        </is>
      </c>
      <c r="B287" s="7" t="inlineStr">
        <is>
          <t>T-1503</t>
        </is>
      </c>
      <c r="C287" s="7" t="inlineStr">
        <is>
          <t>ST-1005</t>
        </is>
      </c>
      <c r="D287" s="7" t="inlineStr">
        <is>
          <t>E10</t>
        </is>
      </c>
      <c r="E287" s="7" t="inlineStr">
        <is>
          <t>Group 2 knowledge transfer + per-model runbooks</t>
        </is>
      </c>
      <c r="F287" s="7" t="inlineStr">
        <is>
          <t>SAS3</t>
        </is>
      </c>
      <c r="G287" s="7" t="inlineStr">
        <is>
          <t>S12</t>
        </is>
      </c>
      <c r="H287" s="7" t="n">
        <v>2</v>
      </c>
      <c r="I287" s="7" t="inlineStr"/>
      <c r="J287" s="7" t="inlineStr"/>
      <c r="K287" s="7" t="inlineStr"/>
      <c r="L287" s="7" t="inlineStr"/>
      <c r="M287" s="7" t="inlineStr">
        <is>
          <t>Planned</t>
        </is>
      </c>
      <c r="N287" s="7" t="inlineStr"/>
    </row>
    <row r="288">
      <c r="A288" s="7" t="inlineStr">
        <is>
          <t>Task</t>
        </is>
      </c>
      <c r="B288" s="7" t="inlineStr">
        <is>
          <t>T-1504</t>
        </is>
      </c>
      <c r="C288" s="7" t="inlineStr">
        <is>
          <t>ST-1005</t>
        </is>
      </c>
      <c r="D288" s="7" t="inlineStr">
        <is>
          <t>E10</t>
        </is>
      </c>
      <c r="E288" s="7" t="inlineStr">
        <is>
          <t>Group 2 DQ + lineage evidence pack</t>
        </is>
      </c>
      <c r="F288" s="7" t="inlineStr">
        <is>
          <t>DE</t>
        </is>
      </c>
      <c r="G288" s="7" t="inlineStr">
        <is>
          <t>S12</t>
        </is>
      </c>
      <c r="H288" s="7" t="n">
        <v>1.5</v>
      </c>
      <c r="I288" s="7" t="inlineStr"/>
      <c r="J288" s="7" t="inlineStr"/>
      <c r="K288" s="7" t="inlineStr"/>
      <c r="L288" s="7" t="inlineStr"/>
      <c r="M288" s="7" t="inlineStr">
        <is>
          <t>Planned</t>
        </is>
      </c>
      <c r="N288" s="7" t="inlineStr"/>
    </row>
    <row r="289">
      <c r="A289" s="5" t="inlineStr">
        <is>
          <t>EPIC</t>
        </is>
      </c>
      <c r="B289" s="5" t="inlineStr">
        <is>
          <t>E11</t>
        </is>
      </c>
      <c r="C289" s="5" t="inlineStr"/>
      <c r="D289" s="5" t="inlineStr">
        <is>
          <t>E11</t>
        </is>
      </c>
      <c r="E289" s="5" t="inlineStr">
        <is>
          <t>Steady State, Hypercare &amp; Handover - Production readiness, cutover rehearsal, runbooks, DR, hypercare, service review, handover, go-live.</t>
        </is>
      </c>
      <c r="F289" s="5" t="inlineStr">
        <is>
          <t>TL</t>
        </is>
      </c>
      <c r="G289" s="5" t="inlineStr">
        <is>
          <t>S8-S12</t>
        </is>
      </c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</row>
    <row r="290">
      <c r="A290" s="6" t="inlineStr">
        <is>
          <t>Story</t>
        </is>
      </c>
      <c r="B290" s="6" t="inlineStr">
        <is>
          <t>ST-1101</t>
        </is>
      </c>
      <c r="C290" s="6" t="inlineStr">
        <is>
          <t>E11</t>
        </is>
      </c>
      <c r="D290" s="6" t="inlineStr">
        <is>
          <t>E11</t>
        </is>
      </c>
      <c r="E290" s="6" t="inlineStr">
        <is>
          <t>Runbooks &amp; support model</t>
        </is>
      </c>
      <c r="F290" s="6" t="inlineStr"/>
      <c r="G290" s="6" t="inlineStr">
        <is>
          <t>S11</t>
        </is>
      </c>
      <c r="H290" s="6" t="n">
        <v>6</v>
      </c>
      <c r="I290" s="6" t="n">
        <v>8</v>
      </c>
      <c r="J290" s="6" t="inlineStr">
        <is>
          <t>Must</t>
        </is>
      </c>
      <c r="K290" s="6" t="inlineStr"/>
      <c r="L290" s="6" t="inlineStr"/>
      <c r="M290" s="6" t="inlineStr"/>
      <c r="N290" s="6" t="inlineStr">
        <is>
          <t>Incident/recovery/rollback runbooks; support rota + escalation matrix.</t>
        </is>
      </c>
    </row>
    <row r="291">
      <c r="A291" s="7" t="inlineStr">
        <is>
          <t>Task</t>
        </is>
      </c>
      <c r="B291" s="7" t="inlineStr">
        <is>
          <t>T-1101</t>
        </is>
      </c>
      <c r="C291" s="7" t="inlineStr">
        <is>
          <t>ST-1101</t>
        </is>
      </c>
      <c r="D291" s="7" t="inlineStr">
        <is>
          <t>E11</t>
        </is>
      </c>
      <c r="E291" s="7" t="inlineStr">
        <is>
          <t>Runbooks: incident, recovery, rollback per model family</t>
        </is>
      </c>
      <c r="F291" s="7" t="inlineStr">
        <is>
          <t>DevOps</t>
        </is>
      </c>
      <c r="G291" s="7" t="inlineStr">
        <is>
          <t>S11</t>
        </is>
      </c>
      <c r="H291" s="7" t="n">
        <v>3</v>
      </c>
      <c r="I291" s="7" t="inlineStr"/>
      <c r="J291" s="7" t="inlineStr"/>
      <c r="K291" s="7" t="inlineStr">
        <is>
          <t>T-0806</t>
        </is>
      </c>
      <c r="L291" s="7" t="inlineStr"/>
      <c r="M291" s="7" t="inlineStr">
        <is>
          <t>Planned</t>
        </is>
      </c>
      <c r="N291" s="7" t="inlineStr"/>
    </row>
    <row r="292">
      <c r="A292" s="7" t="inlineStr">
        <is>
          <t>Task</t>
        </is>
      </c>
      <c r="B292" s="7" t="inlineStr">
        <is>
          <t>T-1102</t>
        </is>
      </c>
      <c r="C292" s="7" t="inlineStr">
        <is>
          <t>ST-1101</t>
        </is>
      </c>
      <c r="D292" s="7" t="inlineStr">
        <is>
          <t>E11</t>
        </is>
      </c>
      <c r="E292" s="7" t="inlineStr">
        <is>
          <t>Support rota + escalation matrix</t>
        </is>
      </c>
      <c r="F292" s="7" t="inlineStr">
        <is>
          <t>TL</t>
        </is>
      </c>
      <c r="G292" s="7" t="inlineStr">
        <is>
          <t>S11</t>
        </is>
      </c>
      <c r="H292" s="7" t="n">
        <v>1</v>
      </c>
      <c r="I292" s="7" t="inlineStr"/>
      <c r="J292" s="7" t="inlineStr"/>
      <c r="K292" s="7" t="inlineStr">
        <is>
          <t>T-1101</t>
        </is>
      </c>
      <c r="L292" s="7" t="inlineStr"/>
      <c r="M292" s="7" t="inlineStr">
        <is>
          <t>Planned</t>
        </is>
      </c>
      <c r="N292" s="7" t="inlineStr"/>
    </row>
    <row r="293">
      <c r="A293" s="7" t="inlineStr">
        <is>
          <t>Task</t>
        </is>
      </c>
      <c r="B293" s="7" t="inlineStr">
        <is>
          <t>T-1103</t>
        </is>
      </c>
      <c r="C293" s="7" t="inlineStr">
        <is>
          <t>ST-1101</t>
        </is>
      </c>
      <c r="D293" s="7" t="inlineStr">
        <is>
          <t>E11</t>
        </is>
      </c>
      <c r="E293" s="7" t="inlineStr">
        <is>
          <t>Cost review + right-sizing pass</t>
        </is>
      </c>
      <c r="F293" s="7" t="inlineStr">
        <is>
          <t>AWS2</t>
        </is>
      </c>
      <c r="G293" s="7" t="inlineStr">
        <is>
          <t>S11</t>
        </is>
      </c>
      <c r="H293" s="7" t="n">
        <v>2</v>
      </c>
      <c r="I293" s="7" t="inlineStr"/>
      <c r="J293" s="7" t="inlineStr"/>
      <c r="K293" s="7" t="inlineStr">
        <is>
          <t>T-0814</t>
        </is>
      </c>
      <c r="L293" s="7" t="inlineStr"/>
      <c r="M293" s="7" t="inlineStr">
        <is>
          <t>Planned</t>
        </is>
      </c>
      <c r="N293" s="7" t="inlineStr"/>
    </row>
    <row r="294">
      <c r="A294" s="6" t="inlineStr">
        <is>
          <t>Story</t>
        </is>
      </c>
      <c r="B294" s="6" t="inlineStr">
        <is>
          <t>ST-1102</t>
        </is>
      </c>
      <c r="C294" s="6" t="inlineStr">
        <is>
          <t>E11</t>
        </is>
      </c>
      <c r="D294" s="6" t="inlineStr">
        <is>
          <t>E11</t>
        </is>
      </c>
      <c r="E294" s="6" t="inlineStr">
        <is>
          <t>Handover &amp; go-live</t>
        </is>
      </c>
      <c r="F294" s="6" t="inlineStr"/>
      <c r="G294" s="6" t="inlineStr">
        <is>
          <t>S12</t>
        </is>
      </c>
      <c r="H294" s="6" t="n">
        <v>5</v>
      </c>
      <c r="I294" s="6" t="n">
        <v>5</v>
      </c>
      <c r="J294" s="6" t="inlineStr">
        <is>
          <t>Must</t>
        </is>
      </c>
      <c r="K294" s="6" t="inlineStr"/>
      <c r="L294" s="6" t="inlineStr"/>
      <c r="M294" s="6" t="inlineStr"/>
      <c r="N294" s="6" t="inlineStr">
        <is>
          <t>Handover sessions done; service review cadence scheduled; steady-state checklist complete.</t>
        </is>
      </c>
    </row>
    <row r="295">
      <c r="A295" s="7" t="inlineStr">
        <is>
          <t>Task</t>
        </is>
      </c>
      <c r="B295" s="7" t="inlineStr">
        <is>
          <t>T-1104</t>
        </is>
      </c>
      <c r="C295" s="7" t="inlineStr">
        <is>
          <t>ST-1102</t>
        </is>
      </c>
      <c r="D295" s="7" t="inlineStr">
        <is>
          <t>E11</t>
        </is>
      </c>
      <c r="E295" s="7" t="inlineStr">
        <is>
          <t>Quarterly service review template + first review scheduled</t>
        </is>
      </c>
      <c r="F295" s="7" t="inlineStr">
        <is>
          <t>TL</t>
        </is>
      </c>
      <c r="G295" s="7" t="inlineStr">
        <is>
          <t>S11</t>
        </is>
      </c>
      <c r="H295" s="7" t="n">
        <v>1</v>
      </c>
      <c r="I295" s="7" t="inlineStr"/>
      <c r="J295" s="7" t="inlineStr"/>
      <c r="K295" s="7" t="inlineStr">
        <is>
          <t>T-1102</t>
        </is>
      </c>
      <c r="L295" s="7" t="inlineStr"/>
      <c r="M295" s="7" t="inlineStr">
        <is>
          <t>Planned</t>
        </is>
      </c>
      <c r="N295" s="7" t="inlineStr"/>
    </row>
    <row r="296">
      <c r="A296" s="7" t="inlineStr">
        <is>
          <t>Task</t>
        </is>
      </c>
      <c r="B296" s="7" t="inlineStr">
        <is>
          <t>T-1105</t>
        </is>
      </c>
      <c r="C296" s="7" t="inlineStr">
        <is>
          <t>ST-1102</t>
        </is>
      </c>
      <c r="D296" s="7" t="inlineStr">
        <is>
          <t>E11</t>
        </is>
      </c>
      <c r="E296" s="7" t="inlineStr">
        <is>
          <t>Handover sessions: ops team + ABSA</t>
        </is>
      </c>
      <c r="F296" s="7" t="inlineStr">
        <is>
          <t>TL</t>
        </is>
      </c>
      <c r="G296" s="7" t="inlineStr">
        <is>
          <t>S12</t>
        </is>
      </c>
      <c r="H296" s="7" t="n">
        <v>2</v>
      </c>
      <c r="I296" s="7" t="inlineStr"/>
      <c r="J296" s="7" t="inlineStr"/>
      <c r="K296" s="7" t="inlineStr">
        <is>
          <t>T-1101</t>
        </is>
      </c>
      <c r="L296" s="7" t="inlineStr"/>
      <c r="M296" s="7" t="inlineStr">
        <is>
          <t>Planned</t>
        </is>
      </c>
      <c r="N296" s="7" t="inlineStr"/>
    </row>
    <row r="297">
      <c r="A297" s="7" t="inlineStr">
        <is>
          <t>Task</t>
        </is>
      </c>
      <c r="B297" s="7" t="inlineStr">
        <is>
          <t>T-1106</t>
        </is>
      </c>
      <c r="C297" s="7" t="inlineStr">
        <is>
          <t>ST-1102</t>
        </is>
      </c>
      <c r="D297" s="7" t="inlineStr">
        <is>
          <t>E11</t>
        </is>
      </c>
      <c r="E297" s="7" t="inlineStr">
        <is>
          <t>Handover support + docs finalization</t>
        </is>
      </c>
      <c r="F297" s="7" t="inlineStr">
        <is>
          <t>DevOps</t>
        </is>
      </c>
      <c r="G297" s="7" t="inlineStr">
        <is>
          <t>S12</t>
        </is>
      </c>
      <c r="H297" s="7" t="n">
        <v>1</v>
      </c>
      <c r="I297" s="7" t="inlineStr"/>
      <c r="J297" s="7" t="inlineStr"/>
      <c r="K297" s="7" t="inlineStr">
        <is>
          <t>T-1105</t>
        </is>
      </c>
      <c r="L297" s="7" t="inlineStr"/>
      <c r="M297" s="7" t="inlineStr">
        <is>
          <t>Planned</t>
        </is>
      </c>
      <c r="N297" s="7" t="inlineStr"/>
    </row>
    <row r="298">
      <c r="A298" s="7" t="inlineStr">
        <is>
          <t>Task</t>
        </is>
      </c>
      <c r="B298" s="7" t="inlineStr">
        <is>
          <t>T-1107</t>
        </is>
      </c>
      <c r="C298" s="7" t="inlineStr">
        <is>
          <t>ST-1102</t>
        </is>
      </c>
      <c r="D298" s="7" t="inlineStr">
        <is>
          <t>E11</t>
        </is>
      </c>
      <c r="E298" s="7" t="inlineStr">
        <is>
          <t>Steady-state go-live checklist + cutover</t>
        </is>
      </c>
      <c r="F298" s="7" t="inlineStr">
        <is>
          <t>TL</t>
        </is>
      </c>
      <c r="G298" s="7" t="inlineStr">
        <is>
          <t>S12</t>
        </is>
      </c>
      <c r="H298" s="7" t="n">
        <v>1</v>
      </c>
      <c r="I298" s="7" t="inlineStr"/>
      <c r="J298" s="7" t="inlineStr"/>
      <c r="K298" s="7" t="inlineStr">
        <is>
          <t>T-1105</t>
        </is>
      </c>
      <c r="L298" s="7" t="inlineStr"/>
      <c r="M298" s="7" t="inlineStr">
        <is>
          <t>Planned</t>
        </is>
      </c>
      <c r="N298" s="7" t="inlineStr">
        <is>
          <t>Go-live ~Dec 1, 2026</t>
        </is>
      </c>
    </row>
    <row r="299">
      <c r="A299" s="6" t="inlineStr">
        <is>
          <t>Story</t>
        </is>
      </c>
      <c r="B299" s="6" t="inlineStr">
        <is>
          <t>ST-1103</t>
        </is>
      </c>
      <c r="C299" s="6" t="inlineStr">
        <is>
          <t>E11</t>
        </is>
      </c>
      <c r="D299" s="6" t="inlineStr">
        <is>
          <t>E11</t>
        </is>
      </c>
      <c r="E299" s="6" t="inlineStr">
        <is>
          <t>Production readiness &amp; hypercare</t>
        </is>
      </c>
      <c r="F299" s="6" t="inlineStr"/>
      <c r="G299" s="6" t="inlineStr">
        <is>
          <t>S8-S12</t>
        </is>
      </c>
      <c r="H299" s="6" t="n">
        <v>4.5</v>
      </c>
      <c r="I299" s="6" t="n">
        <v>5</v>
      </c>
      <c r="J299" s="6" t="inlineStr">
        <is>
          <t>Must</t>
        </is>
      </c>
      <c r="K299" s="6" t="inlineStr"/>
      <c r="L299" s="6" t="inlineStr"/>
      <c r="M299" s="6" t="inlineStr"/>
      <c r="N299" s="6" t="inlineStr">
        <is>
          <t>Go/no-go review; cutover rehearsal; DR verified; hypercare defined; ops handbook.</t>
        </is>
      </c>
    </row>
    <row r="300">
      <c r="A300" s="7" t="inlineStr">
        <is>
          <t>Task</t>
        </is>
      </c>
      <c r="B300" s="7" t="inlineStr">
        <is>
          <t>T-1108</t>
        </is>
      </c>
      <c r="C300" s="7" t="inlineStr">
        <is>
          <t>ST-1103</t>
        </is>
      </c>
      <c r="D300" s="7" t="inlineStr">
        <is>
          <t>E11</t>
        </is>
      </c>
      <c r="E300" s="7" t="inlineStr">
        <is>
          <t>G1 production readiness review (go/no-go checklist)</t>
        </is>
      </c>
      <c r="F300" s="7" t="inlineStr">
        <is>
          <t>DevOps</t>
        </is>
      </c>
      <c r="G300" s="7" t="inlineStr">
        <is>
          <t>S8</t>
        </is>
      </c>
      <c r="H300" s="7" t="n">
        <v>0.5</v>
      </c>
      <c r="I300" s="7" t="inlineStr"/>
      <c r="J300" s="7" t="inlineStr"/>
      <c r="K300" s="7" t="inlineStr">
        <is>
          <t>T-0810</t>
        </is>
      </c>
      <c r="L300" s="7" t="inlineStr"/>
      <c r="M300" s="7" t="inlineStr">
        <is>
          <t>Planned</t>
        </is>
      </c>
      <c r="N300" s="7" t="inlineStr"/>
    </row>
    <row r="301">
      <c r="A301" s="7" t="inlineStr">
        <is>
          <t>Task</t>
        </is>
      </c>
      <c r="B301" s="7" t="inlineStr">
        <is>
          <t>T-1109</t>
        </is>
      </c>
      <c r="C301" s="7" t="inlineStr">
        <is>
          <t>ST-1103</t>
        </is>
      </c>
      <c r="D301" s="7" t="inlineStr">
        <is>
          <t>E11</t>
        </is>
      </c>
      <c r="E301" s="7" t="inlineStr">
        <is>
          <t>Cutover rehearsal (G1)</t>
        </is>
      </c>
      <c r="F301" s="7" t="inlineStr">
        <is>
          <t>DevOps</t>
        </is>
      </c>
      <c r="G301" s="7" t="inlineStr">
        <is>
          <t>S8</t>
        </is>
      </c>
      <c r="H301" s="7" t="n">
        <v>1</v>
      </c>
      <c r="I301" s="7" t="inlineStr"/>
      <c r="J301" s="7" t="inlineStr"/>
      <c r="K301" s="7" t="inlineStr">
        <is>
          <t>T-1108</t>
        </is>
      </c>
      <c r="L301" s="7" t="inlineStr"/>
      <c r="M301" s="7" t="inlineStr">
        <is>
          <t>Planned</t>
        </is>
      </c>
      <c r="N301" s="7" t="inlineStr"/>
    </row>
    <row r="302">
      <c r="A302" s="7" t="inlineStr">
        <is>
          <t>Task</t>
        </is>
      </c>
      <c r="B302" s="7" t="inlineStr">
        <is>
          <t>T-1110</t>
        </is>
      </c>
      <c r="C302" s="7" t="inlineStr">
        <is>
          <t>ST-1103</t>
        </is>
      </c>
      <c r="D302" s="7" t="inlineStr">
        <is>
          <t>E11</t>
        </is>
      </c>
      <c r="E302" s="7" t="inlineStr">
        <is>
          <t>DR plan + backup/restore verification</t>
        </is>
      </c>
      <c r="F302" s="7" t="inlineStr">
        <is>
          <t>AWS2</t>
        </is>
      </c>
      <c r="G302" s="7" t="inlineStr">
        <is>
          <t>S11</t>
        </is>
      </c>
      <c r="H302" s="7" t="n">
        <v>1.5</v>
      </c>
      <c r="I302" s="7" t="inlineStr"/>
      <c r="J302" s="7" t="inlineStr"/>
      <c r="K302" s="7" t="inlineStr">
        <is>
          <t>T-0814</t>
        </is>
      </c>
      <c r="L302" s="7" t="inlineStr"/>
      <c r="M302" s="7" t="inlineStr">
        <is>
          <t>Planned</t>
        </is>
      </c>
      <c r="N302" s="7" t="inlineStr"/>
    </row>
    <row r="303">
      <c r="A303" s="7" t="inlineStr">
        <is>
          <t>Task</t>
        </is>
      </c>
      <c r="B303" s="7" t="inlineStr">
        <is>
          <t>T-1111</t>
        </is>
      </c>
      <c r="C303" s="7" t="inlineStr">
        <is>
          <t>ST-1103</t>
        </is>
      </c>
      <c r="D303" s="7" t="inlineStr">
        <is>
          <t>E11</t>
        </is>
      </c>
      <c r="E303" s="7" t="inlineStr">
        <is>
          <t>Define hypercare period + staffing</t>
        </is>
      </c>
      <c r="F303" s="7" t="inlineStr">
        <is>
          <t>TL</t>
        </is>
      </c>
      <c r="G303" s="7" t="inlineStr">
        <is>
          <t>S12</t>
        </is>
      </c>
      <c r="H303" s="7" t="n">
        <v>0.5</v>
      </c>
      <c r="I303" s="7" t="inlineStr"/>
      <c r="J303" s="7" t="inlineStr"/>
      <c r="K303" s="7" t="inlineStr">
        <is>
          <t>T-1107</t>
        </is>
      </c>
      <c r="L303" s="7" t="inlineStr"/>
      <c r="M303" s="7" t="inlineStr">
        <is>
          <t>Planned</t>
        </is>
      </c>
      <c r="N303" s="7" t="inlineStr"/>
    </row>
    <row r="304">
      <c r="A304" s="7" t="inlineStr">
        <is>
          <t>Task</t>
        </is>
      </c>
      <c r="B304" s="7" t="inlineStr">
        <is>
          <t>T-1112</t>
        </is>
      </c>
      <c r="C304" s="7" t="inlineStr">
        <is>
          <t>ST-1103</t>
        </is>
      </c>
      <c r="D304" s="7" t="inlineStr">
        <is>
          <t>E11</t>
        </is>
      </c>
      <c r="E304" s="7" t="inlineStr">
        <is>
          <t>Ops handbook / knowledge base</t>
        </is>
      </c>
      <c r="F304" s="7" t="inlineStr">
        <is>
          <t>DevOps</t>
        </is>
      </c>
      <c r="G304" s="7" t="inlineStr">
        <is>
          <t>S12</t>
        </is>
      </c>
      <c r="H304" s="7" t="n">
        <v>1</v>
      </c>
      <c r="I304" s="7" t="inlineStr"/>
      <c r="J304" s="7" t="inlineStr"/>
      <c r="K304" s="7" t="inlineStr">
        <is>
          <t>T-1101</t>
        </is>
      </c>
      <c r="L304" s="7" t="inlineStr"/>
      <c r="M304" s="7" t="inlineStr">
        <is>
          <t>Planned</t>
        </is>
      </c>
      <c r="N304" s="7" t="inlineStr"/>
    </row>
    <row r="305">
      <c r="A305" s="5" t="inlineStr">
        <is>
          <t>EPIC</t>
        </is>
      </c>
      <c r="B305" s="5" t="inlineStr">
        <is>
          <t>E12</t>
        </is>
      </c>
      <c r="C305" s="5" t="inlineStr"/>
      <c r="D305" s="5" t="inlineStr">
        <is>
          <t>E12</t>
        </is>
      </c>
      <c r="E305" s="5" t="inlineStr">
        <is>
          <t>Testing, UAT &amp; Performance - Integration tests on real AWS, performance/load vs SLA, failure-mode/resilience, UAT with ABSA, regression pack.</t>
        </is>
      </c>
      <c r="F305" s="5" t="inlineStr">
        <is>
          <t>TL</t>
        </is>
      </c>
      <c r="G305" s="5" t="inlineStr">
        <is>
          <t>S5-S8</t>
        </is>
      </c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</row>
    <row r="306">
      <c r="A306" s="6" t="inlineStr">
        <is>
          <t>Story</t>
        </is>
      </c>
      <c r="B306" s="6" t="inlineStr">
        <is>
          <t>ST-1201</t>
        </is>
      </c>
      <c r="C306" s="6" t="inlineStr">
        <is>
          <t>E12</t>
        </is>
      </c>
      <c r="D306" s="6" t="inlineStr">
        <is>
          <t>E12</t>
        </is>
      </c>
      <c r="E306" s="6" t="inlineStr">
        <is>
          <t>Integration &amp; E2E testing</t>
        </is>
      </c>
      <c r="F306" s="6" t="inlineStr"/>
      <c r="G306" s="6" t="inlineStr">
        <is>
          <t>S5-S7</t>
        </is>
      </c>
      <c r="H306" s="6" t="n">
        <v>5.5</v>
      </c>
      <c r="I306" s="6" t="n">
        <v>8</v>
      </c>
      <c r="J306" s="6" t="inlineStr">
        <is>
          <t>Must</t>
        </is>
      </c>
      <c r="K306" s="6" t="inlineStr"/>
      <c r="L306" s="6" t="inlineStr"/>
      <c r="M306" s="6" t="inlineStr"/>
      <c r="N306" s="6" t="inlineStr">
        <is>
          <t>Integration suite on real AWS; perf/load test harness + execution vs SLA; resilience test.</t>
        </is>
      </c>
    </row>
    <row r="307">
      <c r="A307" s="7" t="inlineStr">
        <is>
          <t>Task</t>
        </is>
      </c>
      <c r="B307" s="7" t="inlineStr">
        <is>
          <t>T-1201</t>
        </is>
      </c>
      <c r="C307" s="7" t="inlineStr">
        <is>
          <t>ST-1201</t>
        </is>
      </c>
      <c r="D307" s="7" t="inlineStr">
        <is>
          <t>E12</t>
        </is>
      </c>
      <c r="E307" s="7" t="inlineStr">
        <is>
          <t>Integration test suite on real AWS (beyond LocalStack)</t>
        </is>
      </c>
      <c r="F307" s="7" t="inlineStr">
        <is>
          <t>TL</t>
        </is>
      </c>
      <c r="G307" s="7" t="inlineStr">
        <is>
          <t>S5</t>
        </is>
      </c>
      <c r="H307" s="7" t="n">
        <v>1.5</v>
      </c>
      <c r="I307" s="7" t="inlineStr"/>
      <c r="J307" s="7" t="inlineStr"/>
      <c r="K307" s="7" t="inlineStr">
        <is>
          <t>T-0317</t>
        </is>
      </c>
      <c r="L307" s="7" t="inlineStr"/>
      <c r="M307" s="7" t="inlineStr">
        <is>
          <t>Planned</t>
        </is>
      </c>
      <c r="N307" s="7" t="inlineStr"/>
    </row>
    <row r="308">
      <c r="A308" s="7" t="inlineStr">
        <is>
          <t>Task</t>
        </is>
      </c>
      <c r="B308" s="7" t="inlineStr">
        <is>
          <t>T-1202</t>
        </is>
      </c>
      <c r="C308" s="7" t="inlineStr">
        <is>
          <t>ST-1201</t>
        </is>
      </c>
      <c r="D308" s="7" t="inlineStr">
        <is>
          <t>E12</t>
        </is>
      </c>
      <c r="E308" s="7" t="inlineStr">
        <is>
          <t>Performance/load test harness</t>
        </is>
      </c>
      <c r="F308" s="7" t="inlineStr">
        <is>
          <t>DevOps</t>
        </is>
      </c>
      <c r="G308" s="7" t="inlineStr">
        <is>
          <t>S6</t>
        </is>
      </c>
      <c r="H308" s="7" t="n">
        <v>1.5</v>
      </c>
      <c r="I308" s="7" t="inlineStr"/>
      <c r="J308" s="7" t="inlineStr"/>
      <c r="K308" s="7" t="inlineStr">
        <is>
          <t>T-0605</t>
        </is>
      </c>
      <c r="L308" s="7" t="inlineStr"/>
      <c r="M308" s="7" t="inlineStr">
        <is>
          <t>Planned</t>
        </is>
      </c>
      <c r="N308" s="7" t="inlineStr"/>
    </row>
    <row r="309">
      <c r="A309" s="7" t="inlineStr">
        <is>
          <t>Task</t>
        </is>
      </c>
      <c r="B309" s="7" t="inlineStr">
        <is>
          <t>T-1203</t>
        </is>
      </c>
      <c r="C309" s="7" t="inlineStr">
        <is>
          <t>ST-1201</t>
        </is>
      </c>
      <c r="D309" s="7" t="inlineStr">
        <is>
          <t>E12</t>
        </is>
      </c>
      <c r="E309" s="7" t="inlineStr">
        <is>
          <t>Performance test execution vs SLA bands</t>
        </is>
      </c>
      <c r="F309" s="7" t="inlineStr">
        <is>
          <t>DevOps</t>
        </is>
      </c>
      <c r="G309" s="7" t="inlineStr">
        <is>
          <t>S7</t>
        </is>
      </c>
      <c r="H309" s="7" t="n">
        <v>1.5</v>
      </c>
      <c r="I309" s="7" t="inlineStr"/>
      <c r="J309" s="7" t="inlineStr"/>
      <c r="K309" s="7" t="inlineStr">
        <is>
          <t>T-1202,T-0606</t>
        </is>
      </c>
      <c r="L309" s="7" t="inlineStr"/>
      <c r="M309" s="7" t="inlineStr">
        <is>
          <t>Planned</t>
        </is>
      </c>
      <c r="N309" s="7" t="inlineStr"/>
    </row>
    <row r="310">
      <c r="A310" s="7" t="inlineStr">
        <is>
          <t>Task</t>
        </is>
      </c>
      <c r="B310" s="7" t="inlineStr">
        <is>
          <t>T-1204</t>
        </is>
      </c>
      <c r="C310" s="7" t="inlineStr">
        <is>
          <t>ST-1201</t>
        </is>
      </c>
      <c r="D310" s="7" t="inlineStr">
        <is>
          <t>E12</t>
        </is>
      </c>
      <c r="E310" s="7" t="inlineStr">
        <is>
          <t>Failure-mode / resilience test (retry, partial failure, teardown)</t>
        </is>
      </c>
      <c r="F310" s="7" t="inlineStr">
        <is>
          <t>DevOps</t>
        </is>
      </c>
      <c r="G310" s="7" t="inlineStr">
        <is>
          <t>S7</t>
        </is>
      </c>
      <c r="H310" s="7" t="n">
        <v>1</v>
      </c>
      <c r="I310" s="7" t="inlineStr"/>
      <c r="J310" s="7" t="inlineStr"/>
      <c r="K310" s="7" t="inlineStr">
        <is>
          <t>T-0805</t>
        </is>
      </c>
      <c r="L310" s="7" t="inlineStr"/>
      <c r="M310" s="7" t="inlineStr">
        <is>
          <t>Planned</t>
        </is>
      </c>
      <c r="N310" s="7" t="inlineStr"/>
    </row>
    <row r="311">
      <c r="A311" s="6" t="inlineStr">
        <is>
          <t>Story</t>
        </is>
      </c>
      <c r="B311" s="6" t="inlineStr">
        <is>
          <t>ST-1202</t>
        </is>
      </c>
      <c r="C311" s="6" t="inlineStr">
        <is>
          <t>E12</t>
        </is>
      </c>
      <c r="D311" s="6" t="inlineStr">
        <is>
          <t>E12</t>
        </is>
      </c>
      <c r="E311" s="6" t="inlineStr">
        <is>
          <t>UAT with ABSA</t>
        </is>
      </c>
      <c r="F311" s="6" t="inlineStr"/>
      <c r="G311" s="6" t="inlineStr">
        <is>
          <t>S7-S8</t>
        </is>
      </c>
      <c r="H311" s="6" t="n">
        <v>3.5</v>
      </c>
      <c r="I311" s="6" t="n">
        <v>5</v>
      </c>
      <c r="J311" s="6" t="inlineStr">
        <is>
          <t>Must</t>
        </is>
      </c>
      <c r="K311" s="6" t="inlineStr"/>
      <c r="L311" s="6" t="inlineStr"/>
      <c r="M311" s="6" t="inlineStr"/>
      <c r="N311" s="6" t="inlineStr">
        <is>
          <t>UAT plan + scripts; UAT executed with ABSA on Group 1; sign-off captured.</t>
        </is>
      </c>
    </row>
    <row r="312">
      <c r="A312" s="7" t="inlineStr">
        <is>
          <t>Task</t>
        </is>
      </c>
      <c r="B312" s="7" t="inlineStr">
        <is>
          <t>T-1205</t>
        </is>
      </c>
      <c r="C312" s="7" t="inlineStr">
        <is>
          <t>ST-1202</t>
        </is>
      </c>
      <c r="D312" s="7" t="inlineStr">
        <is>
          <t>E12</t>
        </is>
      </c>
      <c r="E312" s="7" t="inlineStr">
        <is>
          <t>UAT plan + scripts with ABSA</t>
        </is>
      </c>
      <c r="F312" s="7" t="inlineStr">
        <is>
          <t>TL</t>
        </is>
      </c>
      <c r="G312" s="7" t="inlineStr">
        <is>
          <t>S7</t>
        </is>
      </c>
      <c r="H312" s="7" t="n">
        <v>1.5</v>
      </c>
      <c r="I312" s="7" t="inlineStr"/>
      <c r="J312" s="7" t="inlineStr"/>
      <c r="K312" s="7" t="inlineStr"/>
      <c r="L312" s="7" t="inlineStr"/>
      <c r="M312" s="7" t="inlineStr">
        <is>
          <t>Planned</t>
        </is>
      </c>
      <c r="N312" s="7" t="inlineStr"/>
    </row>
    <row r="313">
      <c r="A313" s="7" t="inlineStr">
        <is>
          <t>Task</t>
        </is>
      </c>
      <c r="B313" s="7" t="inlineStr">
        <is>
          <t>T-1206</t>
        </is>
      </c>
      <c r="C313" s="7" t="inlineStr">
        <is>
          <t>ST-1202</t>
        </is>
      </c>
      <c r="D313" s="7" t="inlineStr">
        <is>
          <t>E12</t>
        </is>
      </c>
      <c r="E313" s="7" t="inlineStr">
        <is>
          <t>UAT execution support (G1) with ABSA</t>
        </is>
      </c>
      <c r="F313" s="7" t="inlineStr">
        <is>
          <t>DE</t>
        </is>
      </c>
      <c r="G313" s="7" t="inlineStr">
        <is>
          <t>S8</t>
        </is>
      </c>
      <c r="H313" s="7" t="n">
        <v>1.5</v>
      </c>
      <c r="I313" s="7" t="inlineStr"/>
      <c r="J313" s="7" t="inlineStr"/>
      <c r="K313" s="7" t="inlineStr">
        <is>
          <t>T-1205</t>
        </is>
      </c>
      <c r="L313" s="7" t="inlineStr"/>
      <c r="M313" s="7" t="inlineStr">
        <is>
          <t>Planned</t>
        </is>
      </c>
      <c r="N313" s="7" t="inlineStr"/>
    </row>
    <row r="314">
      <c r="A314" s="7" t="inlineStr">
        <is>
          <t>Task</t>
        </is>
      </c>
      <c r="B314" s="7" t="inlineStr">
        <is>
          <t>T-1207</t>
        </is>
      </c>
      <c r="C314" s="7" t="inlineStr">
        <is>
          <t>ST-1202</t>
        </is>
      </c>
      <c r="D314" s="7" t="inlineStr">
        <is>
          <t>E12</t>
        </is>
      </c>
      <c r="E314" s="7" t="inlineStr">
        <is>
          <t>UAT sign-off capture</t>
        </is>
      </c>
      <c r="F314" s="7" t="inlineStr">
        <is>
          <t>TL</t>
        </is>
      </c>
      <c r="G314" s="7" t="inlineStr">
        <is>
          <t>S8</t>
        </is>
      </c>
      <c r="H314" s="7" t="n">
        <v>0.5</v>
      </c>
      <c r="I314" s="7" t="inlineStr"/>
      <c r="J314" s="7" t="inlineStr"/>
      <c r="K314" s="7" t="inlineStr">
        <is>
          <t>T-1206</t>
        </is>
      </c>
      <c r="L314" s="7" t="inlineStr"/>
      <c r="M314" s="7" t="inlineStr">
        <is>
          <t>Planned</t>
        </is>
      </c>
      <c r="N314" s="7" t="inlineStr"/>
    </row>
    <row r="315">
      <c r="A315" s="6" t="inlineStr">
        <is>
          <t>Story</t>
        </is>
      </c>
      <c r="B315" s="6" t="inlineStr">
        <is>
          <t>ST-1203</t>
        </is>
      </c>
      <c r="C315" s="6" t="inlineStr">
        <is>
          <t>E12</t>
        </is>
      </c>
      <c r="D315" s="6" t="inlineStr">
        <is>
          <t>E12</t>
        </is>
      </c>
      <c r="E315" s="6" t="inlineStr">
        <is>
          <t>Regression test pack</t>
        </is>
      </c>
      <c r="F315" s="6" t="inlineStr"/>
      <c r="G315" s="6" t="inlineStr">
        <is>
          <t>S8</t>
        </is>
      </c>
      <c r="H315" s="6" t="n">
        <v>1</v>
      </c>
      <c r="I315" s="6" t="n">
        <v>1</v>
      </c>
      <c r="J315" s="6" t="inlineStr">
        <is>
          <t>Should</t>
        </is>
      </c>
      <c r="K315" s="6" t="inlineStr"/>
      <c r="L315" s="6" t="inlineStr"/>
      <c r="M315" s="6" t="inlineStr"/>
      <c r="N315" s="6" t="inlineStr">
        <is>
          <t>Regression pack for ongoing changes wired into CI.</t>
        </is>
      </c>
    </row>
    <row r="316">
      <c r="A316" s="7" t="inlineStr">
        <is>
          <t>Task</t>
        </is>
      </c>
      <c r="B316" s="7" t="inlineStr">
        <is>
          <t>T-1208</t>
        </is>
      </c>
      <c r="C316" s="7" t="inlineStr">
        <is>
          <t>ST-1203</t>
        </is>
      </c>
      <c r="D316" s="7" t="inlineStr">
        <is>
          <t>E12</t>
        </is>
      </c>
      <c r="E316" s="7" t="inlineStr">
        <is>
          <t>Regression test pack for ongoing changes</t>
        </is>
      </c>
      <c r="F316" s="7" t="inlineStr">
        <is>
          <t>DevOps</t>
        </is>
      </c>
      <c r="G316" s="7" t="inlineStr">
        <is>
          <t>S8</t>
        </is>
      </c>
      <c r="H316" s="7" t="n">
        <v>1</v>
      </c>
      <c r="I316" s="7" t="inlineStr"/>
      <c r="J316" s="7" t="inlineStr"/>
      <c r="K316" s="7" t="inlineStr">
        <is>
          <t>T-0214</t>
        </is>
      </c>
      <c r="L316" s="7" t="inlineStr"/>
      <c r="M316" s="7" t="inlineStr">
        <is>
          <t>Planned</t>
        </is>
      </c>
      <c r="N316" s="7" t="inlineStr"/>
    </row>
    <row r="317">
      <c r="A317" s="5" t="inlineStr">
        <is>
          <t>EPIC</t>
        </is>
      </c>
      <c r="B317" s="5" t="inlineStr">
        <is>
          <t>E13</t>
        </is>
      </c>
      <c r="C317" s="5" t="inlineStr"/>
      <c r="D317" s="5" t="inlineStr">
        <is>
          <t>E13</t>
        </is>
      </c>
      <c r="E317" s="5" t="inlineStr">
        <is>
          <t>Capacity &amp; Resourcing - 2-month capacity review; confirm 3rd SAS dev onboarding (S8) + AWS ramp-down plan after foundation (S7).</t>
        </is>
      </c>
      <c r="F317" s="5" t="inlineStr">
        <is>
          <t>TL</t>
        </is>
      </c>
      <c r="G317" s="5" t="inlineStr">
        <is>
          <t>S5-S8</t>
        </is>
      </c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</row>
    <row r="318">
      <c r="A318" s="6" t="inlineStr">
        <is>
          <t>Story</t>
        </is>
      </c>
      <c r="B318" s="6" t="inlineStr">
        <is>
          <t>ST-1301</t>
        </is>
      </c>
      <c r="C318" s="6" t="inlineStr">
        <is>
          <t>E13</t>
        </is>
      </c>
      <c r="D318" s="6" t="inlineStr">
        <is>
          <t>E13</t>
        </is>
      </c>
      <c r="E318" s="6" t="inlineStr">
        <is>
          <t>Capacity review &amp; AWS ramp-down</t>
        </is>
      </c>
      <c r="F318" s="6" t="inlineStr"/>
      <c r="G318" s="6" t="inlineStr">
        <is>
          <t>S5-S8</t>
        </is>
      </c>
      <c r="H318" s="6" t="n">
        <v>1.5</v>
      </c>
      <c r="I318" s="6" t="n">
        <v>2</v>
      </c>
      <c r="J318" s="6" t="inlineStr">
        <is>
          <t>Must</t>
        </is>
      </c>
      <c r="K318" s="6" t="inlineStr"/>
      <c r="L318" s="6" t="inlineStr"/>
      <c r="M318" s="6" t="inlineStr"/>
      <c r="N318" s="6" t="inlineStr">
        <is>
          <t>2-month velocity review; confirm 3rd SAS dev onboarding (S8); plan AWS ramp-down/redeploy after S7 foundation.</t>
        </is>
      </c>
    </row>
    <row r="319">
      <c r="A319" s="7" t="inlineStr">
        <is>
          <t>Task</t>
        </is>
      </c>
      <c r="B319" s="7" t="inlineStr">
        <is>
          <t>T-1301</t>
        </is>
      </c>
      <c r="C319" s="7" t="inlineStr">
        <is>
          <t>ST-1301</t>
        </is>
      </c>
      <c r="D319" s="7" t="inlineStr">
        <is>
          <t>E13</t>
        </is>
      </c>
      <c r="E319" s="7" t="inlineStr">
        <is>
          <t>2-month capacity &amp; velocity review; confirm 3rd SAS dev + AWS ramp-down plan</t>
        </is>
      </c>
      <c r="F319" s="7" t="inlineStr">
        <is>
          <t>TL</t>
        </is>
      </c>
      <c r="G319" s="7" t="inlineStr">
        <is>
          <t>S5</t>
        </is>
      </c>
      <c r="H319" s="7" t="n">
        <v>0.5</v>
      </c>
      <c r="I319" s="7" t="inlineStr"/>
      <c r="J319" s="7" t="inlineStr"/>
      <c r="K319" s="7" t="inlineStr"/>
      <c r="L319" s="7" t="inlineStr"/>
      <c r="M319" s="7" t="inlineStr">
        <is>
          <t>Planned</t>
        </is>
      </c>
      <c r="N319" s="7" t="inlineStr">
        <is>
          <t>*** S5 CAPACITY REVIEW ***</t>
        </is>
      </c>
    </row>
    <row r="320">
      <c r="A320" s="7" t="inlineStr">
        <is>
          <t>Task</t>
        </is>
      </c>
      <c r="B320" s="7" t="inlineStr">
        <is>
          <t>T-1302</t>
        </is>
      </c>
      <c r="C320" s="7" t="inlineStr">
        <is>
          <t>ST-1301</t>
        </is>
      </c>
      <c r="D320" s="7" t="inlineStr">
        <is>
          <t>E13</t>
        </is>
      </c>
      <c r="E320" s="7" t="inlineStr">
        <is>
          <t>Initiate 3rd SAS dev sourcing/transfer; plan AWS redeploy after S7</t>
        </is>
      </c>
      <c r="F320" s="7" t="inlineStr">
        <is>
          <t>TL</t>
        </is>
      </c>
      <c r="G320" s="7" t="inlineStr">
        <is>
          <t>S6</t>
        </is>
      </c>
      <c r="H320" s="7" t="n">
        <v>0.5</v>
      </c>
      <c r="I320" s="7" t="inlineStr"/>
      <c r="J320" s="7" t="inlineStr"/>
      <c r="K320" s="7" t="inlineStr">
        <is>
          <t>T-1301</t>
        </is>
      </c>
      <c r="L320" s="7" t="inlineStr"/>
      <c r="M320" s="7" t="inlineStr">
        <is>
          <t>Planned</t>
        </is>
      </c>
      <c r="N320" s="7" t="inlineStr"/>
    </row>
    <row r="321">
      <c r="A321" s="7" t="inlineStr">
        <is>
          <t>Task</t>
        </is>
      </c>
      <c r="B321" s="7" t="inlineStr">
        <is>
          <t>T-1303</t>
        </is>
      </c>
      <c r="C321" s="7" t="inlineStr">
        <is>
          <t>ST-1301</t>
        </is>
      </c>
      <c r="D321" s="7" t="inlineStr">
        <is>
          <t>E13</t>
        </is>
      </c>
      <c r="E321" s="7" t="inlineStr">
        <is>
          <t>Onboard 3rd SAS dev: access + repo + walkthrough</t>
        </is>
      </c>
      <c r="F321" s="7" t="inlineStr">
        <is>
          <t>TL</t>
        </is>
      </c>
      <c r="G321" s="7" t="inlineStr">
        <is>
          <t>S8</t>
        </is>
      </c>
      <c r="H321" s="7" t="n">
        <v>0.5</v>
      </c>
      <c r="I321" s="7" t="inlineStr"/>
      <c r="J321" s="7" t="inlineStr"/>
      <c r="K321" s="7" t="inlineStr">
        <is>
          <t>T-1302</t>
        </is>
      </c>
      <c r="L321" s="7" t="inlineStr"/>
      <c r="M321" s="7" t="inlineStr">
        <is>
          <t>Planned</t>
        </is>
      </c>
      <c r="N321" s="7" t="inlineStr"/>
    </row>
    <row r="322">
      <c r="A322" s="6" t="inlineStr">
        <is>
          <t>Story</t>
        </is>
      </c>
      <c r="B322" s="6" t="inlineStr">
        <is>
          <t>ST-1302</t>
        </is>
      </c>
      <c r="C322" s="6" t="inlineStr">
        <is>
          <t>E13</t>
        </is>
      </c>
      <c r="D322" s="6" t="inlineStr">
        <is>
          <t>E13</t>
        </is>
      </c>
      <c r="E322" s="6" t="inlineStr">
        <is>
          <t>3rd SAS developer onboarding</t>
        </is>
      </c>
      <c r="F322" s="6" t="inlineStr"/>
      <c r="G322" s="6" t="inlineStr">
        <is>
          <t>S8</t>
        </is>
      </c>
      <c r="H322" s="6" t="n">
        <v>3</v>
      </c>
      <c r="I322" s="6" t="n">
        <v>3</v>
      </c>
      <c r="J322" s="6" t="inlineStr">
        <is>
          <t>Must</t>
        </is>
      </c>
      <c r="K322" s="6" t="inlineStr"/>
      <c r="L322" s="6" t="inlineStr"/>
      <c r="M322" s="6" t="inlineStr"/>
      <c r="N322" s="6" t="inlineStr">
        <is>
          <t>SAS3 productive: env green, standards studied, G1 reconciliation shadowed.</t>
        </is>
      </c>
    </row>
    <row r="323">
      <c r="A323" s="7" t="inlineStr">
        <is>
          <t>Task</t>
        </is>
      </c>
      <c r="B323" s="7" t="inlineStr">
        <is>
          <t>T-1304</t>
        </is>
      </c>
      <c r="C323" s="7" t="inlineStr">
        <is>
          <t>ST-1302</t>
        </is>
      </c>
      <c r="D323" s="7" t="inlineStr">
        <is>
          <t>E13</t>
        </is>
      </c>
      <c r="E323" s="7" t="inlineStr">
        <is>
          <t>Clone repo, uv sync, tests green</t>
        </is>
      </c>
      <c r="F323" s="7" t="inlineStr">
        <is>
          <t>SAS3</t>
        </is>
      </c>
      <c r="G323" s="7" t="inlineStr">
        <is>
          <t>S8</t>
        </is>
      </c>
      <c r="H323" s="7" t="n">
        <v>0.5</v>
      </c>
      <c r="I323" s="7" t="inlineStr"/>
      <c r="J323" s="7" t="inlineStr"/>
      <c r="K323" s="7" t="inlineStr">
        <is>
          <t>T-1303</t>
        </is>
      </c>
      <c r="L323" s="7" t="inlineStr"/>
      <c r="M323" s="7" t="inlineStr">
        <is>
          <t>Planned</t>
        </is>
      </c>
      <c r="N323" s="7" t="inlineStr"/>
    </row>
    <row r="324">
      <c r="A324" s="7" t="inlineStr">
        <is>
          <t>Task</t>
        </is>
      </c>
      <c r="B324" s="7" t="inlineStr">
        <is>
          <t>T-1305</t>
        </is>
      </c>
      <c r="C324" s="7" t="inlineStr">
        <is>
          <t>ST-1302</t>
        </is>
      </c>
      <c r="D324" s="7" t="inlineStr">
        <is>
          <t>E13</t>
        </is>
      </c>
      <c r="E324" s="7" t="inlineStr">
        <is>
          <t>Run `make demo` green locally</t>
        </is>
      </c>
      <c r="F324" s="7" t="inlineStr">
        <is>
          <t>SAS3</t>
        </is>
      </c>
      <c r="G324" s="7" t="inlineStr">
        <is>
          <t>S8</t>
        </is>
      </c>
      <c r="H324" s="7" t="n">
        <v>0.5</v>
      </c>
      <c r="I324" s="7" t="inlineStr"/>
      <c r="J324" s="7" t="inlineStr"/>
      <c r="K324" s="7" t="inlineStr">
        <is>
          <t>T-1304</t>
        </is>
      </c>
      <c r="L324" s="7" t="inlineStr"/>
      <c r="M324" s="7" t="inlineStr">
        <is>
          <t>Planned</t>
        </is>
      </c>
      <c r="N324" s="7" t="inlineStr"/>
    </row>
    <row r="325">
      <c r="A325" s="7" t="inlineStr">
        <is>
          <t>Task</t>
        </is>
      </c>
      <c r="B325" s="7" t="inlineStr">
        <is>
          <t>T-1306</t>
        </is>
      </c>
      <c r="C325" s="7" t="inlineStr">
        <is>
          <t>ST-1302</t>
        </is>
      </c>
      <c r="D325" s="7" t="inlineStr">
        <is>
          <t>E13</t>
        </is>
      </c>
      <c r="E325" s="7" t="inlineStr">
        <is>
          <t>Study SAS standards + a packaged G1 model</t>
        </is>
      </c>
      <c r="F325" s="7" t="inlineStr">
        <is>
          <t>SAS3</t>
        </is>
      </c>
      <c r="G325" s="7" t="inlineStr">
        <is>
          <t>S8</t>
        </is>
      </c>
      <c r="H325" s="7" t="n">
        <v>1</v>
      </c>
      <c r="I325" s="7" t="inlineStr"/>
      <c r="J325" s="7" t="inlineStr"/>
      <c r="K325" s="7" t="inlineStr">
        <is>
          <t>T-1304</t>
        </is>
      </c>
      <c r="L325" s="7" t="inlineStr"/>
      <c r="M325" s="7" t="inlineStr">
        <is>
          <t>Planned</t>
        </is>
      </c>
      <c r="N325" s="7" t="inlineStr"/>
    </row>
    <row r="326">
      <c r="A326" s="7" t="inlineStr">
        <is>
          <t>Task</t>
        </is>
      </c>
      <c r="B326" s="7" t="inlineStr">
        <is>
          <t>T-1307</t>
        </is>
      </c>
      <c r="C326" s="7" t="inlineStr">
        <is>
          <t>ST-1302</t>
        </is>
      </c>
      <c r="D326" s="7" t="inlineStr">
        <is>
          <t>E13</t>
        </is>
      </c>
      <c r="E326" s="7" t="inlineStr">
        <is>
          <t>Shadow a G1 reconciliation cycle</t>
        </is>
      </c>
      <c r="F326" s="7" t="inlineStr">
        <is>
          <t>SAS3</t>
        </is>
      </c>
      <c r="G326" s="7" t="inlineStr">
        <is>
          <t>S8</t>
        </is>
      </c>
      <c r="H326" s="7" t="n">
        <v>1</v>
      </c>
      <c r="I326" s="7" t="inlineStr"/>
      <c r="J326" s="7" t="inlineStr"/>
      <c r="K326" s="7" t="inlineStr">
        <is>
          <t>T-0810</t>
        </is>
      </c>
      <c r="L326" s="7" t="inlineStr"/>
      <c r="M326" s="7" t="inlineStr">
        <is>
          <t>Planned</t>
        </is>
      </c>
      <c r="N326" s="7" t="inlineStr"/>
    </row>
    <row r="327">
      <c r="A327" s="5" t="inlineStr">
        <is>
          <t>EPIC</t>
        </is>
      </c>
      <c r="B327" s="5" t="inlineStr">
        <is>
          <t>E14</t>
        </is>
      </c>
      <c r="C327" s="5" t="inlineStr"/>
      <c r="D327" s="5" t="inlineStr">
        <is>
          <t>E14</t>
        </is>
      </c>
      <c r="E327" s="5" t="inlineStr">
        <is>
          <t>Model Implementation Documentation (IDG) - LLM-assisted Implementation Document Generator (ADR-0012): drafts the per-version 'as-built' doc from dev docs + code + platform facts; human-approved; SR 11-7/GMRMG evidence; one living doc per model version.</t>
        </is>
      </c>
      <c r="F327" s="5" t="inlineStr">
        <is>
          <t>TL</t>
        </is>
      </c>
      <c r="G327" s="5" t="inlineStr">
        <is>
          <t>S5-S12</t>
        </is>
      </c>
      <c r="H327" s="5" t="inlineStr"/>
      <c r="I327" s="5" t="inlineStr"/>
      <c r="J327" s="5" t="inlineStr"/>
      <c r="K327" s="5" t="inlineStr"/>
      <c r="L327" s="5" t="inlineStr"/>
      <c r="M327" s="5" t="inlineStr"/>
      <c r="N327" s="5" t="inlineStr"/>
    </row>
    <row r="328">
      <c r="A328" s="6" t="inlineStr">
        <is>
          <t>Story</t>
        </is>
      </c>
      <c r="B328" s="6" t="inlineStr">
        <is>
          <t>ST-1401</t>
        </is>
      </c>
      <c r="C328" s="6" t="inlineStr">
        <is>
          <t>E14</t>
        </is>
      </c>
      <c r="D328" s="6" t="inlineStr">
        <is>
          <t>E14</t>
        </is>
      </c>
      <c r="E328" s="6" t="inlineStr">
        <is>
          <t>IDG design + decision</t>
        </is>
      </c>
      <c r="F328" s="6" t="inlineStr"/>
      <c r="G328" s="6" t="inlineStr">
        <is>
          <t>S5-S6</t>
        </is>
      </c>
      <c r="H328" s="6" t="n">
        <v>2</v>
      </c>
      <c r="I328" s="6" t="n">
        <v>2</v>
      </c>
      <c r="J328" s="6" t="inlineStr">
        <is>
          <t>Must</t>
        </is>
      </c>
      <c r="K328" s="6" t="inlineStr"/>
      <c r="L328" s="6" t="inlineStr"/>
      <c r="M328" s="6" t="inlineStr"/>
      <c r="N328" s="6" t="inlineStr">
        <is>
          <t>ADR-0012 accepted; impl-doc template + section schema; deterministic context-bundle spec; LLM provider DPA confirmed.</t>
        </is>
      </c>
    </row>
    <row r="329">
      <c r="A329" s="7" t="inlineStr">
        <is>
          <t>Task</t>
        </is>
      </c>
      <c r="B329" s="7" t="inlineStr">
        <is>
          <t>T-1407</t>
        </is>
      </c>
      <c r="C329" s="7" t="inlineStr">
        <is>
          <t>ST-1401</t>
        </is>
      </c>
      <c r="D329" s="7" t="inlineStr">
        <is>
          <t>E14</t>
        </is>
      </c>
      <c r="E329" s="7" t="inlineStr">
        <is>
          <t>ADR-0012 + confirm LLM provider DPA (Azure OpenAI / Anthropic) with ABSA</t>
        </is>
      </c>
      <c r="F329" s="7" t="inlineStr">
        <is>
          <t>TL</t>
        </is>
      </c>
      <c r="G329" s="7" t="inlineStr">
        <is>
          <t>S5</t>
        </is>
      </c>
      <c r="H329" s="7" t="n">
        <v>0.5</v>
      </c>
      <c r="I329" s="7" t="inlineStr"/>
      <c r="J329" s="7" t="inlineStr"/>
      <c r="K329" s="7" t="inlineStr"/>
      <c r="L329" s="8" t="inlineStr">
        <is>
          <t>ABSA: LLM data-processing terms</t>
        </is>
      </c>
      <c r="M329" s="7" t="inlineStr">
        <is>
          <t>Planned</t>
        </is>
      </c>
      <c r="N329" s="7" t="inlineStr">
        <is>
          <t>*** gates first real IDG run ***</t>
        </is>
      </c>
    </row>
    <row r="330">
      <c r="A330" s="7" t="inlineStr">
        <is>
          <t>Task</t>
        </is>
      </c>
      <c r="B330" s="7" t="inlineStr">
        <is>
          <t>T-1401</t>
        </is>
      </c>
      <c r="C330" s="7" t="inlineStr">
        <is>
          <t>ST-1401</t>
        </is>
      </c>
      <c r="D330" s="7" t="inlineStr">
        <is>
          <t>E14</t>
        </is>
      </c>
      <c r="E330" s="7" t="inlineStr">
        <is>
          <t>Design impl-doc template + section schema + deterministic context-bundle spec</t>
        </is>
      </c>
      <c r="F330" s="7" t="inlineStr">
        <is>
          <t>TL</t>
        </is>
      </c>
      <c r="G330" s="7" t="inlineStr">
        <is>
          <t>S6</t>
        </is>
      </c>
      <c r="H330" s="7" t="n">
        <v>1.5</v>
      </c>
      <c r="I330" s="7" t="inlineStr"/>
      <c r="J330" s="7" t="inlineStr"/>
      <c r="K330" s="7" t="inlineStr">
        <is>
          <t>T-1407</t>
        </is>
      </c>
      <c r="L330" s="7" t="inlineStr"/>
      <c r="M330" s="7" t="inlineStr">
        <is>
          <t>Planned</t>
        </is>
      </c>
      <c r="N330" s="7" t="inlineStr">
        <is>
          <t>Co-design with SAS</t>
        </is>
      </c>
    </row>
    <row r="331">
      <c r="A331" s="6" t="inlineStr">
        <is>
          <t>Story</t>
        </is>
      </c>
      <c r="B331" s="6" t="inlineStr">
        <is>
          <t>ST-1402</t>
        </is>
      </c>
      <c r="C331" s="6" t="inlineStr">
        <is>
          <t>E14</t>
        </is>
      </c>
      <c r="D331" s="6" t="inlineStr">
        <is>
          <t>E14</t>
        </is>
      </c>
      <c r="E331" s="6" t="inlineStr">
        <is>
          <t>IDG build</t>
        </is>
      </c>
      <c r="F331" s="6" t="inlineStr"/>
      <c r="G331" s="6" t="inlineStr">
        <is>
          <t>S7</t>
        </is>
      </c>
      <c r="H331" s="6" t="n">
        <v>5</v>
      </c>
      <c r="I331" s="6" t="n">
        <v>5</v>
      </c>
      <c r="J331" s="6" t="inlineStr">
        <is>
          <t>Must</t>
        </is>
      </c>
      <c r="K331" s="6" t="inlineStr"/>
      <c r="L331" s="6" t="inlineStr"/>
      <c r="M331" s="6" t="inlineStr"/>
      <c r="N331" s="6" t="inlineStr">
        <is>
          <t>Context bundler (facts from manifest/registry/validation) + LLM provider adapter (Azure OpenAI / Anthropic) + grounded prompt + raw-data/PII guard.</t>
        </is>
      </c>
    </row>
    <row r="332">
      <c r="A332" s="7" t="inlineStr">
        <is>
          <t>Task</t>
        </is>
      </c>
      <c r="B332" s="7" t="inlineStr">
        <is>
          <t>T-1402</t>
        </is>
      </c>
      <c r="C332" s="7" t="inlineStr">
        <is>
          <t>ST-1402</t>
        </is>
      </c>
      <c r="D332" s="7" t="inlineStr">
        <is>
          <t>E14</t>
        </is>
      </c>
      <c r="E332" s="7" t="inlineStr">
        <is>
          <t>Build context bundler (facts from manifest/registry/validation summary)</t>
        </is>
      </c>
      <c r="F332" s="7" t="inlineStr">
        <is>
          <t>AWS2</t>
        </is>
      </c>
      <c r="G332" s="7" t="inlineStr">
        <is>
          <t>S7</t>
        </is>
      </c>
      <c r="H332" s="7" t="n">
        <v>2</v>
      </c>
      <c r="I332" s="7" t="inlineStr"/>
      <c r="J332" s="7" t="inlineStr"/>
      <c r="K332" s="7" t="inlineStr">
        <is>
          <t>T-1401,T-0317</t>
        </is>
      </c>
      <c r="L332" s="7" t="inlineStr"/>
      <c r="M332" s="7" t="inlineStr">
        <is>
          <t>Planned</t>
        </is>
      </c>
      <c r="N332" s="7" t="inlineStr">
        <is>
          <t>Facts injected verbatim, never LLM-authored</t>
        </is>
      </c>
    </row>
    <row r="333">
      <c r="A333" s="7" t="inlineStr">
        <is>
          <t>Task</t>
        </is>
      </c>
      <c r="B333" s="7" t="inlineStr">
        <is>
          <t>T-1403</t>
        </is>
      </c>
      <c r="C333" s="7" t="inlineStr">
        <is>
          <t>ST-1402</t>
        </is>
      </c>
      <c r="D333" s="7" t="inlineStr">
        <is>
          <t>E14</t>
        </is>
      </c>
      <c r="E333" s="7" t="inlineStr">
        <is>
          <t>LLM provider adapter (Azure OpenAI / Anthropic) + grounded prompt</t>
        </is>
      </c>
      <c r="F333" s="7" t="inlineStr">
        <is>
          <t>TL</t>
        </is>
      </c>
      <c r="G333" s="7" t="inlineStr">
        <is>
          <t>S7</t>
        </is>
      </c>
      <c r="H333" s="7" t="n">
        <v>2</v>
      </c>
      <c r="I333" s="7" t="inlineStr"/>
      <c r="J333" s="7" t="inlineStr"/>
      <c r="K333" s="7" t="inlineStr">
        <is>
          <t>T-1401</t>
        </is>
      </c>
      <c r="L333" s="8" t="inlineStr">
        <is>
          <t>ABSA: LLM data-processing terms</t>
        </is>
      </c>
      <c r="M333" s="7" t="inlineStr">
        <is>
          <t>Planned</t>
        </is>
      </c>
      <c r="N333" s="7" t="inlineStr">
        <is>
          <t>Provider-swappable behind an adapter</t>
        </is>
      </c>
    </row>
    <row r="334">
      <c r="A334" s="7" t="inlineStr">
        <is>
          <t>Task</t>
        </is>
      </c>
      <c r="B334" s="7" t="inlineStr">
        <is>
          <t>T-1404</t>
        </is>
      </c>
      <c r="C334" s="7" t="inlineStr">
        <is>
          <t>ST-1402</t>
        </is>
      </c>
      <c r="D334" s="7" t="inlineStr">
        <is>
          <t>E14</t>
        </is>
      </c>
      <c r="E334" s="7" t="inlineStr">
        <is>
          <t>Raw-data / PII guard on the context bundle (pre-flight checker)</t>
        </is>
      </c>
      <c r="F334" s="7" t="inlineStr">
        <is>
          <t>DE</t>
        </is>
      </c>
      <c r="G334" s="7" t="inlineStr">
        <is>
          <t>S7</t>
        </is>
      </c>
      <c r="H334" s="7" t="n">
        <v>1</v>
      </c>
      <c r="I334" s="7" t="inlineStr"/>
      <c r="J334" s="7" t="inlineStr"/>
      <c r="K334" s="7" t="inlineStr">
        <is>
          <t>T-1402</t>
        </is>
      </c>
      <c r="L334" s="7" t="inlineStr"/>
      <c r="M334" s="7" t="inlineStr">
        <is>
          <t>Planned</t>
        </is>
      </c>
      <c r="N334" s="7" t="inlineStr">
        <is>
          <t>Bundle = code+docs+metadata only; fail on data payload</t>
        </is>
      </c>
    </row>
    <row r="335">
      <c r="A335" s="6" t="inlineStr">
        <is>
          <t>Story</t>
        </is>
      </c>
      <c r="B335" s="6" t="inlineStr">
        <is>
          <t>ST-1403</t>
        </is>
      </c>
      <c r="C335" s="6" t="inlineStr">
        <is>
          <t>E14</t>
        </is>
      </c>
      <c r="D335" s="6" t="inlineStr">
        <is>
          <t>E14</t>
        </is>
      </c>
      <c r="E335" s="6" t="inlineStr">
        <is>
          <t>IDG governance + integration</t>
        </is>
      </c>
      <c r="F335" s="6" t="inlineStr"/>
      <c r="G335" s="6" t="inlineStr">
        <is>
          <t>S7-S8</t>
        </is>
      </c>
      <c r="H335" s="6" t="n">
        <v>3.5</v>
      </c>
      <c r="I335" s="6" t="n">
        <v>5</v>
      </c>
      <c r="J335" s="6" t="inlineStr">
        <is>
          <t>Must</t>
        </is>
      </c>
      <c r="K335" s="6" t="inlineStr"/>
      <c r="L335" s="6" t="inlineStr"/>
      <c r="M335" s="6" t="inlineStr"/>
      <c r="N335" s="6" t="inlineStr">
        <is>
          <t>Render md+PDF; human review + approval workflow + provenance capture; implementation_doc_ref wired into package manifest + registry; G1 docs generated.</t>
        </is>
      </c>
    </row>
    <row r="336">
      <c r="A336" s="7" t="inlineStr">
        <is>
          <t>Task</t>
        </is>
      </c>
      <c r="B336" s="7" t="inlineStr">
        <is>
          <t>T-1405</t>
        </is>
      </c>
      <c r="C336" s="7" t="inlineStr">
        <is>
          <t>ST-1403</t>
        </is>
      </c>
      <c r="D336" s="7" t="inlineStr">
        <is>
          <t>E14</t>
        </is>
      </c>
      <c r="E336" s="7" t="inlineStr">
        <is>
          <t>Render md + PDF; human review + approval workflow + provenance capture</t>
        </is>
      </c>
      <c r="F336" s="7" t="inlineStr">
        <is>
          <t>AWS2</t>
        </is>
      </c>
      <c r="G336" s="7" t="inlineStr">
        <is>
          <t>S8</t>
        </is>
      </c>
      <c r="H336" s="7" t="n">
        <v>2</v>
      </c>
      <c r="I336" s="7" t="inlineStr"/>
      <c r="J336" s="7" t="inlineStr"/>
      <c r="K336" s="7" t="inlineStr">
        <is>
          <t>T-1403</t>
        </is>
      </c>
      <c r="L336" s="7" t="inlineStr"/>
      <c r="M336" s="7" t="inlineStr">
        <is>
          <t>Planned</t>
        </is>
      </c>
      <c r="N336" s="7" t="inlineStr"/>
    </row>
    <row r="337">
      <c r="A337" s="7" t="inlineStr">
        <is>
          <t>Task</t>
        </is>
      </c>
      <c r="B337" s="7" t="inlineStr">
        <is>
          <t>T-1406</t>
        </is>
      </c>
      <c r="C337" s="7" t="inlineStr">
        <is>
          <t>ST-1403</t>
        </is>
      </c>
      <c r="D337" s="7" t="inlineStr">
        <is>
          <t>E14</t>
        </is>
      </c>
      <c r="E337" s="7" t="inlineStr">
        <is>
          <t>Wire implementation_doc_ref into package-manifest + registry schema (regen models)</t>
        </is>
      </c>
      <c r="F337" s="7" t="inlineStr">
        <is>
          <t>DE</t>
        </is>
      </c>
      <c r="G337" s="7" t="inlineStr">
        <is>
          <t>S8</t>
        </is>
      </c>
      <c r="H337" s="7" t="n">
        <v>1.5</v>
      </c>
      <c r="I337" s="7" t="inlineStr"/>
      <c r="J337" s="7" t="inlineStr"/>
      <c r="K337" s="7" t="inlineStr">
        <is>
          <t>T-1404</t>
        </is>
      </c>
      <c r="L337" s="7" t="inlineStr"/>
      <c r="M337" s="7" t="inlineStr">
        <is>
          <t>Planned</t>
        </is>
      </c>
      <c r="N337" s="7" t="inlineStr">
        <is>
          <t>Digest-reference pattern like python_pyproject_ref</t>
        </is>
      </c>
    </row>
  </sheetData>
  <autoFilter ref="A3:N3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6" customWidth="1" min="4" max="4"/>
    <col width="26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9" customWidth="1" min="12" max="12"/>
  </cols>
  <sheetData>
    <row r="1">
      <c r="A1" s="1" t="inlineStr">
        <is>
          <t>Sprint Plan - 12 x 2-week sprints</t>
        </is>
      </c>
    </row>
    <row r="3">
      <c r="A3" s="4" t="inlineStr">
        <is>
          <t>Sprint</t>
        </is>
      </c>
      <c r="B3" s="4" t="inlineStr">
        <is>
          <t>Start</t>
        </is>
      </c>
      <c r="C3" s="4" t="inlineStr">
        <is>
          <t>End</t>
        </is>
      </c>
      <c r="D3" s="4" t="inlineStr">
        <is>
          <t>Goal</t>
        </is>
      </c>
      <c r="E3" s="4" t="inlineStr">
        <is>
          <t>Milestone</t>
        </is>
      </c>
      <c r="F3" s="4" t="inlineStr">
        <is>
          <t>AWS (d)</t>
        </is>
      </c>
      <c r="G3" s="4" t="inlineStr">
        <is>
          <t>AWS2 (d)</t>
        </is>
      </c>
      <c r="H3" s="4" t="inlineStr">
        <is>
          <t>DE (d)</t>
        </is>
      </c>
      <c r="I3" s="4" t="inlineStr">
        <is>
          <t>SAS (d)</t>
        </is>
      </c>
      <c r="J3" s="4" t="inlineStr">
        <is>
          <t>SAS2 (d)</t>
        </is>
      </c>
      <c r="K3" s="4" t="inlineStr">
        <is>
          <t>SAS3 (d)</t>
        </is>
      </c>
      <c r="L3" s="4" t="inlineStr">
        <is>
          <t>DevOps (d)</t>
        </is>
      </c>
      <c r="M3" s="4" t="inlineStr">
        <is>
          <t>TL (d)</t>
        </is>
      </c>
      <c r="N3" s="4" t="inlineStr">
        <is>
          <t>Total (d)</t>
        </is>
      </c>
    </row>
    <row r="4">
      <c r="A4" s="9" t="inlineStr">
        <is>
          <t>S1</t>
        </is>
      </c>
      <c r="B4" s="10" t="n">
        <v>46188</v>
      </c>
      <c r="C4" s="10" t="n">
        <v>46199</v>
      </c>
      <c r="D4" s="7" t="inlineStr">
        <is>
          <t>Team onboarded; Jenkins identity decided; python-validate green on Jenkins; ABSA ask-list sent</t>
        </is>
      </c>
      <c r="E4" s="9" t="inlineStr"/>
      <c r="F4" s="11">
        <f>SUMIFS(Backlog!$H:$H,Backlog!$F:$F,"AWS",Backlog!$G:$G,"S1",Backlog!$A:$A,"Task")</f>
        <v/>
      </c>
      <c r="G4" s="11">
        <f>SUMIFS(Backlog!$H:$H,Backlog!$F:$F,"AWS2",Backlog!$G:$G,"S1",Backlog!$A:$A,"Task")</f>
        <v/>
      </c>
      <c r="H4" s="11">
        <f>SUMIFS(Backlog!$H:$H,Backlog!$F:$F,"DE",Backlog!$G:$G,"S1",Backlog!$A:$A,"Task")</f>
        <v/>
      </c>
      <c r="I4" s="11">
        <f>SUMIFS(Backlog!$H:$H,Backlog!$F:$F,"SAS",Backlog!$G:$G,"S1",Backlog!$A:$A,"Task")</f>
        <v/>
      </c>
      <c r="J4" s="11">
        <f>SUMIFS(Backlog!$H:$H,Backlog!$F:$F,"SAS2",Backlog!$G:$G,"S1",Backlog!$A:$A,"Task")</f>
        <v/>
      </c>
      <c r="K4" s="11">
        <f>SUMIFS(Backlog!$H:$H,Backlog!$F:$F,"SAS3",Backlog!$G:$G,"S1",Backlog!$A:$A,"Task")</f>
        <v/>
      </c>
      <c r="L4" s="11">
        <f>SUMIFS(Backlog!$H:$H,Backlog!$F:$F,"DevOps",Backlog!$G:$G,"S1",Backlog!$A:$A,"Task")</f>
        <v/>
      </c>
      <c r="M4" s="11">
        <f>SUMIFS(Backlog!$H:$H,Backlog!$F:$F,"TL",Backlog!$G:$G,"S1",Backlog!$A:$A,"Task")</f>
        <v/>
      </c>
      <c r="N4" s="9">
        <f>SUM(F4:M4)</f>
        <v/>
      </c>
    </row>
    <row r="5">
      <c r="A5" s="9" t="inlineStr">
        <is>
          <t>S2</t>
        </is>
      </c>
      <c r="B5" s="10" t="n">
        <v>46202</v>
      </c>
      <c r="C5" s="10" t="n">
        <v>46213</v>
      </c>
      <c r="D5" s="7" t="inlineStr">
        <is>
          <t>All no-AWS Jenkins jobs live; AWS bootstrap applied; data contracts started; SAS model-1 review done</t>
        </is>
      </c>
      <c r="E5" s="9" t="inlineStr"/>
      <c r="F5" s="11">
        <f>SUMIFS(Backlog!$H:$H,Backlog!$F:$F,"AWS",Backlog!$G:$G,"S2",Backlog!$A:$A,"Task")</f>
        <v/>
      </c>
      <c r="G5" s="11">
        <f>SUMIFS(Backlog!$H:$H,Backlog!$F:$F,"AWS2",Backlog!$G:$G,"S2",Backlog!$A:$A,"Task")</f>
        <v/>
      </c>
      <c r="H5" s="11">
        <f>SUMIFS(Backlog!$H:$H,Backlog!$F:$F,"DE",Backlog!$G:$G,"S2",Backlog!$A:$A,"Task")</f>
        <v/>
      </c>
      <c r="I5" s="11">
        <f>SUMIFS(Backlog!$H:$H,Backlog!$F:$F,"SAS",Backlog!$G:$G,"S2",Backlog!$A:$A,"Task")</f>
        <v/>
      </c>
      <c r="J5" s="11">
        <f>SUMIFS(Backlog!$H:$H,Backlog!$F:$F,"SAS2",Backlog!$G:$G,"S2",Backlog!$A:$A,"Task")</f>
        <v/>
      </c>
      <c r="K5" s="11">
        <f>SUMIFS(Backlog!$H:$H,Backlog!$F:$F,"SAS3",Backlog!$G:$G,"S2",Backlog!$A:$A,"Task")</f>
        <v/>
      </c>
      <c r="L5" s="11">
        <f>SUMIFS(Backlog!$H:$H,Backlog!$F:$F,"DevOps",Backlog!$G:$G,"S2",Backlog!$A:$A,"Task")</f>
        <v/>
      </c>
      <c r="M5" s="11">
        <f>SUMIFS(Backlog!$H:$H,Backlog!$F:$F,"TL",Backlog!$G:$G,"S2",Backlog!$A:$A,"Task")</f>
        <v/>
      </c>
      <c r="N5" s="9">
        <f>SUM(F5:M5)</f>
        <v/>
      </c>
    </row>
    <row r="6">
      <c r="A6" s="12" t="inlineStr">
        <is>
          <t>S3</t>
        </is>
      </c>
      <c r="B6" s="13" t="n">
        <v>46216</v>
      </c>
      <c r="C6" s="13" t="n">
        <v>46227</v>
      </c>
      <c r="D6" s="14" t="inlineStr">
        <is>
          <t>Jenkins cutover complete (GHA retired); signing foundation live on real AWS; model-1 optimized</t>
        </is>
      </c>
      <c r="E6" s="12" t="inlineStr">
        <is>
          <t>Jenkins is the sole CI gate</t>
        </is>
      </c>
      <c r="F6" s="15">
        <f>SUMIFS(Backlog!$H:$H,Backlog!$F:$F,"AWS",Backlog!$G:$G,"S3",Backlog!$A:$A,"Task")</f>
        <v/>
      </c>
      <c r="G6" s="15">
        <f>SUMIFS(Backlog!$H:$H,Backlog!$F:$F,"AWS2",Backlog!$G:$G,"S3",Backlog!$A:$A,"Task")</f>
        <v/>
      </c>
      <c r="H6" s="15">
        <f>SUMIFS(Backlog!$H:$H,Backlog!$F:$F,"DE",Backlog!$G:$G,"S3",Backlog!$A:$A,"Task")</f>
        <v/>
      </c>
      <c r="I6" s="15">
        <f>SUMIFS(Backlog!$H:$H,Backlog!$F:$F,"SAS",Backlog!$G:$G,"S3",Backlog!$A:$A,"Task")</f>
        <v/>
      </c>
      <c r="J6" s="15">
        <f>SUMIFS(Backlog!$H:$H,Backlog!$F:$F,"SAS2",Backlog!$G:$G,"S3",Backlog!$A:$A,"Task")</f>
        <v/>
      </c>
      <c r="K6" s="15">
        <f>SUMIFS(Backlog!$H:$H,Backlog!$F:$F,"SAS3",Backlog!$G:$G,"S3",Backlog!$A:$A,"Task")</f>
        <v/>
      </c>
      <c r="L6" s="15">
        <f>SUMIFS(Backlog!$H:$H,Backlog!$F:$F,"DevOps",Backlog!$G:$G,"S3",Backlog!$A:$A,"Task")</f>
        <v/>
      </c>
      <c r="M6" s="11">
        <f>SUMIFS(Backlog!$H:$H,Backlog!$F:$F,"TL",Backlog!$G:$G,"S3",Backlog!$A:$A,"Task")</f>
        <v/>
      </c>
      <c r="N6" s="9">
        <f>SUM(F6:M6)</f>
        <v/>
      </c>
    </row>
    <row r="7">
      <c r="A7" s="12" t="inlineStr">
        <is>
          <t>S4</t>
        </is>
      </c>
      <c r="B7" s="13" t="n">
        <v>46230</v>
      </c>
      <c r="C7" s="13" t="n">
        <v>46241</v>
      </c>
      <c r="D7" s="14" t="inlineStr">
        <is>
          <t>Registry API live on Lambda (dev); replication path validated; model-1 packaged; threat model done</t>
        </is>
      </c>
      <c r="E7" s="12" t="inlineStr">
        <is>
          <t>Registry live in dev</t>
        </is>
      </c>
      <c r="F7" s="15">
        <f>SUMIFS(Backlog!$H:$H,Backlog!$F:$F,"AWS",Backlog!$G:$G,"S4",Backlog!$A:$A,"Task")</f>
        <v/>
      </c>
      <c r="G7" s="15">
        <f>SUMIFS(Backlog!$H:$H,Backlog!$F:$F,"AWS2",Backlog!$G:$G,"S4",Backlog!$A:$A,"Task")</f>
        <v/>
      </c>
      <c r="H7" s="15">
        <f>SUMIFS(Backlog!$H:$H,Backlog!$F:$F,"DE",Backlog!$G:$G,"S4",Backlog!$A:$A,"Task")</f>
        <v/>
      </c>
      <c r="I7" s="15">
        <f>SUMIFS(Backlog!$H:$H,Backlog!$F:$F,"SAS",Backlog!$G:$G,"S4",Backlog!$A:$A,"Task")</f>
        <v/>
      </c>
      <c r="J7" s="15">
        <f>SUMIFS(Backlog!$H:$H,Backlog!$F:$F,"SAS2",Backlog!$G:$G,"S4",Backlog!$A:$A,"Task")</f>
        <v/>
      </c>
      <c r="K7" s="15">
        <f>SUMIFS(Backlog!$H:$H,Backlog!$F:$F,"SAS3",Backlog!$G:$G,"S4",Backlog!$A:$A,"Task")</f>
        <v/>
      </c>
      <c r="L7" s="15">
        <f>SUMIFS(Backlog!$H:$H,Backlog!$F:$F,"DevOps",Backlog!$G:$G,"S4",Backlog!$A:$A,"Task")</f>
        <v/>
      </c>
      <c r="M7" s="11">
        <f>SUMIFS(Backlog!$H:$H,Backlog!$F:$F,"TL",Backlog!$G:$G,"S4",Backlog!$A:$A,"Task")</f>
        <v/>
      </c>
      <c r="N7" s="9">
        <f>SUM(F7:M7)</f>
        <v/>
      </c>
    </row>
    <row r="8">
      <c r="A8" s="12" t="inlineStr">
        <is>
          <t>S5</t>
        </is>
      </c>
      <c r="B8" s="13" t="n">
        <v>46244</v>
      </c>
      <c r="C8" s="13" t="n">
        <v>46255</v>
      </c>
      <c r="D8" s="14" t="inlineStr">
        <is>
          <t>SFN executes model-1 in dev; PIR sync; model-2 optimized; CAPACITY REVIEW (scale-up decision)</t>
        </is>
      </c>
      <c r="E8" s="12" t="inlineStr">
        <is>
          <t>*** S5 CAPACITY REVIEW ***</t>
        </is>
      </c>
      <c r="F8" s="15">
        <f>SUMIFS(Backlog!$H:$H,Backlog!$F:$F,"AWS",Backlog!$G:$G,"S5",Backlog!$A:$A,"Task")</f>
        <v/>
      </c>
      <c r="G8" s="15">
        <f>SUMIFS(Backlog!$H:$H,Backlog!$F:$F,"AWS2",Backlog!$G:$G,"S5",Backlog!$A:$A,"Task")</f>
        <v/>
      </c>
      <c r="H8" s="15">
        <f>SUMIFS(Backlog!$H:$H,Backlog!$F:$F,"DE",Backlog!$G:$G,"S5",Backlog!$A:$A,"Task")</f>
        <v/>
      </c>
      <c r="I8" s="15">
        <f>SUMIFS(Backlog!$H:$H,Backlog!$F:$F,"SAS",Backlog!$G:$G,"S5",Backlog!$A:$A,"Task")</f>
        <v/>
      </c>
      <c r="J8" s="15">
        <f>SUMIFS(Backlog!$H:$H,Backlog!$F:$F,"SAS2",Backlog!$G:$G,"S5",Backlog!$A:$A,"Task")</f>
        <v/>
      </c>
      <c r="K8" s="15">
        <f>SUMIFS(Backlog!$H:$H,Backlog!$F:$F,"SAS3",Backlog!$G:$G,"S5",Backlog!$A:$A,"Task")</f>
        <v/>
      </c>
      <c r="L8" s="15">
        <f>SUMIFS(Backlog!$H:$H,Backlog!$F:$F,"DevOps",Backlog!$G:$G,"S5",Backlog!$A:$A,"Task")</f>
        <v/>
      </c>
      <c r="M8" s="11">
        <f>SUMIFS(Backlog!$H:$H,Backlog!$F:$F,"TL",Backlog!$G:$G,"S5",Backlog!$A:$A,"Task")</f>
        <v/>
      </c>
      <c r="N8" s="9">
        <f>SUM(F8:M8)</f>
        <v/>
      </c>
    </row>
    <row r="9">
      <c r="A9" s="12" t="inlineStr">
        <is>
          <t>S6</t>
        </is>
      </c>
      <c r="B9" s="13" t="n">
        <v>46258</v>
      </c>
      <c r="C9" s="13" t="n">
        <v>46269</v>
      </c>
      <c r="D9" s="14" t="inlineStr">
        <is>
          <t>DRESS REHEARSAL: full chain on real AWS for models 1-2; dashboards + perf harness; POPIA/SARB check</t>
        </is>
      </c>
      <c r="E9" s="12" t="inlineStr">
        <is>
          <t>Dress rehearsal pass</t>
        </is>
      </c>
      <c r="F9" s="15">
        <f>SUMIFS(Backlog!$H:$H,Backlog!$F:$F,"AWS",Backlog!$G:$G,"S6",Backlog!$A:$A,"Task")</f>
        <v/>
      </c>
      <c r="G9" s="15">
        <f>SUMIFS(Backlog!$H:$H,Backlog!$F:$F,"AWS2",Backlog!$G:$G,"S6",Backlog!$A:$A,"Task")</f>
        <v/>
      </c>
      <c r="H9" s="15">
        <f>SUMIFS(Backlog!$H:$H,Backlog!$F:$F,"DE",Backlog!$G:$G,"S6",Backlog!$A:$A,"Task")</f>
        <v/>
      </c>
      <c r="I9" s="15">
        <f>SUMIFS(Backlog!$H:$H,Backlog!$F:$F,"SAS",Backlog!$G:$G,"S6",Backlog!$A:$A,"Task")</f>
        <v/>
      </c>
      <c r="J9" s="15">
        <f>SUMIFS(Backlog!$H:$H,Backlog!$F:$F,"SAS2",Backlog!$G:$G,"S6",Backlog!$A:$A,"Task")</f>
        <v/>
      </c>
      <c r="K9" s="15">
        <f>SUMIFS(Backlog!$H:$H,Backlog!$F:$F,"SAS3",Backlog!$G:$G,"S6",Backlog!$A:$A,"Task")</f>
        <v/>
      </c>
      <c r="L9" s="15">
        <f>SUMIFS(Backlog!$H:$H,Backlog!$F:$F,"DevOps",Backlog!$G:$G,"S6",Backlog!$A:$A,"Task")</f>
        <v/>
      </c>
      <c r="M9" s="11">
        <f>SUMIFS(Backlog!$H:$H,Backlog!$F:$F,"TL",Backlog!$G:$G,"S6",Backlog!$A:$A,"Task")</f>
        <v/>
      </c>
      <c r="N9" s="9">
        <f>SUM(F9:M9)</f>
        <v/>
      </c>
    </row>
    <row r="10">
      <c r="A10" s="9" t="inlineStr">
        <is>
          <t>S7</t>
        </is>
      </c>
      <c r="B10" s="10" t="n">
        <v>46272</v>
      </c>
      <c r="C10" s="10" t="n">
        <v>46283</v>
      </c>
      <c r="D10" s="7" t="inlineStr">
        <is>
          <t>Group 1 initial production scoring; reconciliation; perf + resilience tests; UAT plan</t>
        </is>
      </c>
      <c r="E10" s="9" t="inlineStr"/>
      <c r="F10" s="11">
        <f>SUMIFS(Backlog!$H:$H,Backlog!$F:$F,"AWS",Backlog!$G:$G,"S7",Backlog!$A:$A,"Task")</f>
        <v/>
      </c>
      <c r="G10" s="11">
        <f>SUMIFS(Backlog!$H:$H,Backlog!$F:$F,"AWS2",Backlog!$G:$G,"S7",Backlog!$A:$A,"Task")</f>
        <v/>
      </c>
      <c r="H10" s="11">
        <f>SUMIFS(Backlog!$H:$H,Backlog!$F:$F,"DE",Backlog!$G:$G,"S7",Backlog!$A:$A,"Task")</f>
        <v/>
      </c>
      <c r="I10" s="11">
        <f>SUMIFS(Backlog!$H:$H,Backlog!$F:$F,"SAS",Backlog!$G:$G,"S7",Backlog!$A:$A,"Task")</f>
        <v/>
      </c>
      <c r="J10" s="11">
        <f>SUMIFS(Backlog!$H:$H,Backlog!$F:$F,"SAS2",Backlog!$G:$G,"S7",Backlog!$A:$A,"Task")</f>
        <v/>
      </c>
      <c r="K10" s="11">
        <f>SUMIFS(Backlog!$H:$H,Backlog!$F:$F,"SAS3",Backlog!$G:$G,"S7",Backlog!$A:$A,"Task")</f>
        <v/>
      </c>
      <c r="L10" s="11">
        <f>SUMIFS(Backlog!$H:$H,Backlog!$F:$F,"DevOps",Backlog!$G:$G,"S7",Backlog!$A:$A,"Task")</f>
        <v/>
      </c>
      <c r="M10" s="11">
        <f>SUMIFS(Backlog!$H:$H,Backlog!$F:$F,"TL",Backlog!$G:$G,"S7",Backlog!$A:$A,"Task")</f>
        <v/>
      </c>
      <c r="N10" s="9">
        <f>SUM(F10:M10)</f>
        <v/>
      </c>
    </row>
    <row r="11">
      <c r="A11" s="12" t="inlineStr">
        <is>
          <t>S8</t>
        </is>
      </c>
      <c r="B11" s="13" t="n">
        <v>46286</v>
      </c>
      <c r="C11" s="13" t="n">
        <v>46297</v>
      </c>
      <c r="D11" s="14" t="inlineStr">
        <is>
          <t>GROUP 1 ABSA SIGN-OFF; pen-test remediation; 2nd SAS dev onboarded; G2 plan</t>
        </is>
      </c>
      <c r="E11" s="12" t="inlineStr">
        <is>
          <t>*** GROUP 1 SIGN-OFF ***</t>
        </is>
      </c>
      <c r="F11" s="15">
        <f>SUMIFS(Backlog!$H:$H,Backlog!$F:$F,"AWS",Backlog!$G:$G,"S8",Backlog!$A:$A,"Task")</f>
        <v/>
      </c>
      <c r="G11" s="15">
        <f>SUMIFS(Backlog!$H:$H,Backlog!$F:$F,"AWS2",Backlog!$G:$G,"S8",Backlog!$A:$A,"Task")</f>
        <v/>
      </c>
      <c r="H11" s="15">
        <f>SUMIFS(Backlog!$H:$H,Backlog!$F:$F,"DE",Backlog!$G:$G,"S8",Backlog!$A:$A,"Task")</f>
        <v/>
      </c>
      <c r="I11" s="15">
        <f>SUMIFS(Backlog!$H:$H,Backlog!$F:$F,"SAS",Backlog!$G:$G,"S8",Backlog!$A:$A,"Task")</f>
        <v/>
      </c>
      <c r="J11" s="15">
        <f>SUMIFS(Backlog!$H:$H,Backlog!$F:$F,"SAS2",Backlog!$G:$G,"S8",Backlog!$A:$A,"Task")</f>
        <v/>
      </c>
      <c r="K11" s="15">
        <f>SUMIFS(Backlog!$H:$H,Backlog!$F:$F,"SAS3",Backlog!$G:$G,"S8",Backlog!$A:$A,"Task")</f>
        <v/>
      </c>
      <c r="L11" s="15">
        <f>SUMIFS(Backlog!$H:$H,Backlog!$F:$F,"DevOps",Backlog!$G:$G,"S8",Backlog!$A:$A,"Task")</f>
        <v/>
      </c>
      <c r="M11" s="11">
        <f>SUMIFS(Backlog!$H:$H,Backlog!$F:$F,"TL",Backlog!$G:$G,"S8",Backlog!$A:$A,"Task")</f>
        <v/>
      </c>
      <c r="N11" s="9">
        <f>SUM(F11:M11)</f>
        <v/>
      </c>
    </row>
    <row r="12">
      <c r="A12" s="9" t="inlineStr">
        <is>
          <t>S9</t>
        </is>
      </c>
      <c r="B12" s="10" t="n">
        <v>46300</v>
      </c>
      <c r="C12" s="10" t="n">
        <v>46311</v>
      </c>
      <c r="D12" s="7" t="inlineStr">
        <is>
          <t>Group 2 wave 1 (models 3-5) live; dashboards validated with ABSA; cost dashboard</t>
        </is>
      </c>
      <c r="E12" s="9" t="inlineStr"/>
      <c r="F12" s="11">
        <f>SUMIFS(Backlog!$H:$H,Backlog!$F:$F,"AWS",Backlog!$G:$G,"S9",Backlog!$A:$A,"Task")</f>
        <v/>
      </c>
      <c r="G12" s="11">
        <f>SUMIFS(Backlog!$H:$H,Backlog!$F:$F,"AWS2",Backlog!$G:$G,"S9",Backlog!$A:$A,"Task")</f>
        <v/>
      </c>
      <c r="H12" s="11">
        <f>SUMIFS(Backlog!$H:$H,Backlog!$F:$F,"DE",Backlog!$G:$G,"S9",Backlog!$A:$A,"Task")</f>
        <v/>
      </c>
      <c r="I12" s="11">
        <f>SUMIFS(Backlog!$H:$H,Backlog!$F:$F,"SAS",Backlog!$G:$G,"S9",Backlog!$A:$A,"Task")</f>
        <v/>
      </c>
      <c r="J12" s="11">
        <f>SUMIFS(Backlog!$H:$H,Backlog!$F:$F,"SAS2",Backlog!$G:$G,"S9",Backlog!$A:$A,"Task")</f>
        <v/>
      </c>
      <c r="K12" s="11">
        <f>SUMIFS(Backlog!$H:$H,Backlog!$F:$F,"SAS3",Backlog!$G:$G,"S9",Backlog!$A:$A,"Task")</f>
        <v/>
      </c>
      <c r="L12" s="11">
        <f>SUMIFS(Backlog!$H:$H,Backlog!$F:$F,"DevOps",Backlog!$G:$G,"S9",Backlog!$A:$A,"Task")</f>
        <v/>
      </c>
      <c r="M12" s="11">
        <f>SUMIFS(Backlog!$H:$H,Backlog!$F:$F,"TL",Backlog!$G:$G,"S9",Backlog!$A:$A,"Task")</f>
        <v/>
      </c>
      <c r="N12" s="9">
        <f>SUM(F12:M12)</f>
        <v/>
      </c>
    </row>
    <row r="13">
      <c r="A13" s="9" t="inlineStr">
        <is>
          <t>S10</t>
        </is>
      </c>
      <c r="B13" s="10" t="n">
        <v>46314</v>
      </c>
      <c r="C13" s="10" t="n">
        <v>46325</v>
      </c>
      <c r="D13" s="7" t="inlineStr">
        <is>
          <t>Group 2 wave 2 (models 6-8) live; output delivery automated</t>
        </is>
      </c>
      <c r="E13" s="9" t="inlineStr"/>
      <c r="F13" s="11">
        <f>SUMIFS(Backlog!$H:$H,Backlog!$F:$F,"AWS",Backlog!$G:$G,"S10",Backlog!$A:$A,"Task")</f>
        <v/>
      </c>
      <c r="G13" s="11">
        <f>SUMIFS(Backlog!$H:$H,Backlog!$F:$F,"AWS2",Backlog!$G:$G,"S10",Backlog!$A:$A,"Task")</f>
        <v/>
      </c>
      <c r="H13" s="11">
        <f>SUMIFS(Backlog!$H:$H,Backlog!$F:$F,"DE",Backlog!$G:$G,"S10",Backlog!$A:$A,"Task")</f>
        <v/>
      </c>
      <c r="I13" s="11">
        <f>SUMIFS(Backlog!$H:$H,Backlog!$F:$F,"SAS",Backlog!$G:$G,"S10",Backlog!$A:$A,"Task")</f>
        <v/>
      </c>
      <c r="J13" s="11">
        <f>SUMIFS(Backlog!$H:$H,Backlog!$F:$F,"SAS2",Backlog!$G:$G,"S10",Backlog!$A:$A,"Task")</f>
        <v/>
      </c>
      <c r="K13" s="11">
        <f>SUMIFS(Backlog!$H:$H,Backlog!$F:$F,"SAS3",Backlog!$G:$G,"S10",Backlog!$A:$A,"Task")</f>
        <v/>
      </c>
      <c r="L13" s="11">
        <f>SUMIFS(Backlog!$H:$H,Backlog!$F:$F,"DevOps",Backlog!$G:$G,"S10",Backlog!$A:$A,"Task")</f>
        <v/>
      </c>
      <c r="M13" s="11">
        <f>SUMIFS(Backlog!$H:$H,Backlog!$F:$F,"TL",Backlog!$G:$G,"S10",Backlog!$A:$A,"Task")</f>
        <v/>
      </c>
      <c r="N13" s="9">
        <f>SUM(F13:M13)</f>
        <v/>
      </c>
    </row>
    <row r="14">
      <c r="A14" s="12" t="inlineStr">
        <is>
          <t>S11</t>
        </is>
      </c>
      <c r="B14" s="13" t="n">
        <v>46328</v>
      </c>
      <c r="C14" s="13" t="n">
        <v>46339</v>
      </c>
      <c r="D14" s="14" t="inlineStr">
        <is>
          <t>Group 2 wave 3 (models 9-10) live - ALL 10 MODELS SCORING; runbooks; DR verified</t>
        </is>
      </c>
      <c r="E14" s="12" t="inlineStr">
        <is>
          <t>All 10 models live</t>
        </is>
      </c>
      <c r="F14" s="15">
        <f>SUMIFS(Backlog!$H:$H,Backlog!$F:$F,"AWS",Backlog!$G:$G,"S11",Backlog!$A:$A,"Task")</f>
        <v/>
      </c>
      <c r="G14" s="15">
        <f>SUMIFS(Backlog!$H:$H,Backlog!$F:$F,"AWS2",Backlog!$G:$G,"S11",Backlog!$A:$A,"Task")</f>
        <v/>
      </c>
      <c r="H14" s="15">
        <f>SUMIFS(Backlog!$H:$H,Backlog!$F:$F,"DE",Backlog!$G:$G,"S11",Backlog!$A:$A,"Task")</f>
        <v/>
      </c>
      <c r="I14" s="15">
        <f>SUMIFS(Backlog!$H:$H,Backlog!$F:$F,"SAS",Backlog!$G:$G,"S11",Backlog!$A:$A,"Task")</f>
        <v/>
      </c>
      <c r="J14" s="15">
        <f>SUMIFS(Backlog!$H:$H,Backlog!$F:$F,"SAS2",Backlog!$G:$G,"S11",Backlog!$A:$A,"Task")</f>
        <v/>
      </c>
      <c r="K14" s="15">
        <f>SUMIFS(Backlog!$H:$H,Backlog!$F:$F,"SAS3",Backlog!$G:$G,"S11",Backlog!$A:$A,"Task")</f>
        <v/>
      </c>
      <c r="L14" s="15">
        <f>SUMIFS(Backlog!$H:$H,Backlog!$F:$F,"DevOps",Backlog!$G:$G,"S11",Backlog!$A:$A,"Task")</f>
        <v/>
      </c>
      <c r="M14" s="11">
        <f>SUMIFS(Backlog!$H:$H,Backlog!$F:$F,"TL",Backlog!$G:$G,"S11",Backlog!$A:$A,"Task")</f>
        <v/>
      </c>
      <c r="N14" s="9">
        <f>SUM(F14:M14)</f>
        <v/>
      </c>
    </row>
    <row r="15">
      <c r="A15" s="12" t="inlineStr">
        <is>
          <t>S12</t>
        </is>
      </c>
      <c r="B15" s="13" t="n">
        <v>46342</v>
      </c>
      <c r="C15" s="13" t="n">
        <v>46353</v>
      </c>
      <c r="D15" s="14" t="inlineStr">
        <is>
          <t>HARDENING ONLY (no new models): GROUP 2 SIGN-OFF; handover; hypercare; steady-state go-live</t>
        </is>
      </c>
      <c r="E15" s="12" t="inlineStr">
        <is>
          <t>*** GROUP 2 SIGN-OFF + GO-LIVE ***</t>
        </is>
      </c>
      <c r="F15" s="15">
        <f>SUMIFS(Backlog!$H:$H,Backlog!$F:$F,"AWS",Backlog!$G:$G,"S12",Backlog!$A:$A,"Task")</f>
        <v/>
      </c>
      <c r="G15" s="15">
        <f>SUMIFS(Backlog!$H:$H,Backlog!$F:$F,"AWS2",Backlog!$G:$G,"S12",Backlog!$A:$A,"Task")</f>
        <v/>
      </c>
      <c r="H15" s="15">
        <f>SUMIFS(Backlog!$H:$H,Backlog!$F:$F,"DE",Backlog!$G:$G,"S12",Backlog!$A:$A,"Task")</f>
        <v/>
      </c>
      <c r="I15" s="15">
        <f>SUMIFS(Backlog!$H:$H,Backlog!$F:$F,"SAS",Backlog!$G:$G,"S12",Backlog!$A:$A,"Task")</f>
        <v/>
      </c>
      <c r="J15" s="15">
        <f>SUMIFS(Backlog!$H:$H,Backlog!$F:$F,"SAS2",Backlog!$G:$G,"S12",Backlog!$A:$A,"Task")</f>
        <v/>
      </c>
      <c r="K15" s="15">
        <f>SUMIFS(Backlog!$H:$H,Backlog!$F:$F,"SAS3",Backlog!$G:$G,"S12",Backlog!$A:$A,"Task")</f>
        <v/>
      </c>
      <c r="L15" s="15">
        <f>SUMIFS(Backlog!$H:$H,Backlog!$F:$F,"DevOps",Backlog!$G:$G,"S12",Backlog!$A:$A,"Task")</f>
        <v/>
      </c>
      <c r="M15" s="11">
        <f>SUMIFS(Backlog!$H:$H,Backlog!$F:$F,"TL",Backlog!$G:$G,"S12",Backlog!$A:$A,"Task")</f>
        <v/>
      </c>
      <c r="N15" s="9">
        <f>SUM(F15:M15)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Role Load vs Capacity (effort-days per sprint)</t>
        </is>
      </c>
    </row>
    <row r="3">
      <c r="A3" s="4" t="inlineStr">
        <is>
          <t>Role</t>
        </is>
      </c>
      <c r="B3" s="4" t="inlineStr">
        <is>
          <t>S1</t>
        </is>
      </c>
      <c r="C3" s="4" t="inlineStr">
        <is>
          <t>S2</t>
        </is>
      </c>
      <c r="D3" s="4" t="inlineStr">
        <is>
          <t>S3</t>
        </is>
      </c>
      <c r="E3" s="4" t="inlineStr">
        <is>
          <t>S4</t>
        </is>
      </c>
      <c r="F3" s="4" t="inlineStr">
        <is>
          <t>S5</t>
        </is>
      </c>
      <c r="G3" s="4" t="inlineStr">
        <is>
          <t>S6</t>
        </is>
      </c>
      <c r="H3" s="4" t="inlineStr">
        <is>
          <t>S7</t>
        </is>
      </c>
      <c r="I3" s="4" t="inlineStr">
        <is>
          <t>S8</t>
        </is>
      </c>
      <c r="J3" s="4" t="inlineStr">
        <is>
          <t>S9</t>
        </is>
      </c>
      <c r="K3" s="4" t="inlineStr">
        <is>
          <t>S10</t>
        </is>
      </c>
      <c r="L3" s="4" t="inlineStr">
        <is>
          <t>S11</t>
        </is>
      </c>
      <c r="M3" s="4" t="inlineStr">
        <is>
          <t>S12</t>
        </is>
      </c>
    </row>
    <row r="4">
      <c r="A4" s="16" t="inlineStr">
        <is>
          <t>AWS - AWS/MLOps Eng #1 - Foundation &amp; Infra</t>
        </is>
      </c>
      <c r="B4" s="17">
        <f>SUMIFS(Backlog!$H:$H,Backlog!$F:$F,"AWS",Backlog!$G:$G,"S1",Backlog!$A:$A,"Task")</f>
        <v/>
      </c>
      <c r="C4" s="17">
        <f>SUMIFS(Backlog!$H:$H,Backlog!$F:$F,"AWS",Backlog!$G:$G,"S2",Backlog!$A:$A,"Task")</f>
        <v/>
      </c>
      <c r="D4" s="17">
        <f>SUMIFS(Backlog!$H:$H,Backlog!$F:$F,"AWS",Backlog!$G:$G,"S3",Backlog!$A:$A,"Task")</f>
        <v/>
      </c>
      <c r="E4" s="17">
        <f>SUMIFS(Backlog!$H:$H,Backlog!$F:$F,"AWS",Backlog!$G:$G,"S4",Backlog!$A:$A,"Task")</f>
        <v/>
      </c>
      <c r="F4" s="18">
        <f>SUMIFS(Backlog!$H:$H,Backlog!$F:$F,"AWS",Backlog!$G:$G,"S5",Backlog!$A:$A,"Task")</f>
        <v/>
      </c>
      <c r="G4" s="17">
        <f>SUMIFS(Backlog!$H:$H,Backlog!$F:$F,"AWS",Backlog!$G:$G,"S6",Backlog!$A:$A,"Task")</f>
        <v/>
      </c>
      <c r="H4" s="17">
        <f>SUMIFS(Backlog!$H:$H,Backlog!$F:$F,"AWS",Backlog!$G:$G,"S7",Backlog!$A:$A,"Task")</f>
        <v/>
      </c>
      <c r="I4" s="18">
        <f>SUMIFS(Backlog!$H:$H,Backlog!$F:$F,"AWS",Backlog!$G:$G,"S8",Backlog!$A:$A,"Task")</f>
        <v/>
      </c>
      <c r="J4" s="17">
        <f>SUMIFS(Backlog!$H:$H,Backlog!$F:$F,"AWS",Backlog!$G:$G,"S9",Backlog!$A:$A,"Task")</f>
        <v/>
      </c>
      <c r="K4" s="17">
        <f>SUMIFS(Backlog!$H:$H,Backlog!$F:$F,"AWS",Backlog!$G:$G,"S10",Backlog!$A:$A,"Task")</f>
        <v/>
      </c>
      <c r="L4" s="17">
        <f>SUMIFS(Backlog!$H:$H,Backlog!$F:$F,"AWS",Backlog!$G:$G,"S11",Backlog!$A:$A,"Task")</f>
        <v/>
      </c>
      <c r="M4" s="18">
        <f>SUMIFS(Backlog!$H:$H,Backlog!$F:$F,"AWS",Backlog!$G:$G,"S12",Backlog!$A:$A,"Task")</f>
        <v/>
      </c>
    </row>
    <row r="5">
      <c r="A5" s="16" t="inlineStr">
        <is>
          <t>AWS2 - AWS/MLOps Eng #2 - Platform, Compute &amp; MLOps</t>
        </is>
      </c>
      <c r="B5" s="17">
        <f>SUMIFS(Backlog!$H:$H,Backlog!$F:$F,"AWS2",Backlog!$G:$G,"S1",Backlog!$A:$A,"Task")</f>
        <v/>
      </c>
      <c r="C5" s="17">
        <f>SUMIFS(Backlog!$H:$H,Backlog!$F:$F,"AWS2",Backlog!$G:$G,"S2",Backlog!$A:$A,"Task")</f>
        <v/>
      </c>
      <c r="D5" s="17">
        <f>SUMIFS(Backlog!$H:$H,Backlog!$F:$F,"AWS2",Backlog!$G:$G,"S3",Backlog!$A:$A,"Task")</f>
        <v/>
      </c>
      <c r="E5" s="17">
        <f>SUMIFS(Backlog!$H:$H,Backlog!$F:$F,"AWS2",Backlog!$G:$G,"S4",Backlog!$A:$A,"Task")</f>
        <v/>
      </c>
      <c r="F5" s="17">
        <f>SUMIFS(Backlog!$H:$H,Backlog!$F:$F,"AWS2",Backlog!$G:$G,"S5",Backlog!$A:$A,"Task")</f>
        <v/>
      </c>
      <c r="G5" s="17">
        <f>SUMIFS(Backlog!$H:$H,Backlog!$F:$F,"AWS2",Backlog!$G:$G,"S6",Backlog!$A:$A,"Task")</f>
        <v/>
      </c>
      <c r="H5" s="19">
        <f>SUMIFS(Backlog!$H:$H,Backlog!$F:$F,"AWS2",Backlog!$G:$G,"S7",Backlog!$A:$A,"Task")</f>
        <v/>
      </c>
      <c r="I5" s="17">
        <f>SUMIFS(Backlog!$H:$H,Backlog!$F:$F,"AWS2",Backlog!$G:$G,"S8",Backlog!$A:$A,"Task")</f>
        <v/>
      </c>
      <c r="J5" s="18">
        <f>SUMIFS(Backlog!$H:$H,Backlog!$F:$F,"AWS2",Backlog!$G:$G,"S9",Backlog!$A:$A,"Task")</f>
        <v/>
      </c>
      <c r="K5" s="18">
        <f>SUMIFS(Backlog!$H:$H,Backlog!$F:$F,"AWS2",Backlog!$G:$G,"S10",Backlog!$A:$A,"Task")</f>
        <v/>
      </c>
      <c r="L5" s="17">
        <f>SUMIFS(Backlog!$H:$H,Backlog!$F:$F,"AWS2",Backlog!$G:$G,"S11",Backlog!$A:$A,"Task")</f>
        <v/>
      </c>
      <c r="M5" s="18">
        <f>SUMIFS(Backlog!$H:$H,Backlog!$F:$F,"AWS2",Backlog!$G:$G,"S12",Backlog!$A:$A,"Task")</f>
        <v/>
      </c>
    </row>
    <row r="6">
      <c r="A6" s="16" t="inlineStr">
        <is>
          <t>DE - Data Engineer</t>
        </is>
      </c>
      <c r="B6" s="17">
        <f>SUMIFS(Backlog!$H:$H,Backlog!$F:$F,"DE",Backlog!$G:$G,"S1",Backlog!$A:$A,"Task")</f>
        <v/>
      </c>
      <c r="C6" s="17">
        <f>SUMIFS(Backlog!$H:$H,Backlog!$F:$F,"DE",Backlog!$G:$G,"S2",Backlog!$A:$A,"Task")</f>
        <v/>
      </c>
      <c r="D6" s="17">
        <f>SUMIFS(Backlog!$H:$H,Backlog!$F:$F,"DE",Backlog!$G:$G,"S3",Backlog!$A:$A,"Task")</f>
        <v/>
      </c>
      <c r="E6" s="17">
        <f>SUMIFS(Backlog!$H:$H,Backlog!$F:$F,"DE",Backlog!$G:$G,"S4",Backlog!$A:$A,"Task")</f>
        <v/>
      </c>
      <c r="F6" s="17">
        <f>SUMIFS(Backlog!$H:$H,Backlog!$F:$F,"DE",Backlog!$G:$G,"S5",Backlog!$A:$A,"Task")</f>
        <v/>
      </c>
      <c r="G6" s="17">
        <f>SUMIFS(Backlog!$H:$H,Backlog!$F:$F,"DE",Backlog!$G:$G,"S6",Backlog!$A:$A,"Task")</f>
        <v/>
      </c>
      <c r="H6" s="17">
        <f>SUMIFS(Backlog!$H:$H,Backlog!$F:$F,"DE",Backlog!$G:$G,"S7",Backlog!$A:$A,"Task")</f>
        <v/>
      </c>
      <c r="I6" s="17">
        <f>SUMIFS(Backlog!$H:$H,Backlog!$F:$F,"DE",Backlog!$G:$G,"S8",Backlog!$A:$A,"Task")</f>
        <v/>
      </c>
      <c r="J6" s="17">
        <f>SUMIFS(Backlog!$H:$H,Backlog!$F:$F,"DE",Backlog!$G:$G,"S9",Backlog!$A:$A,"Task")</f>
        <v/>
      </c>
      <c r="K6" s="17">
        <f>SUMIFS(Backlog!$H:$H,Backlog!$F:$F,"DE",Backlog!$G:$G,"S10",Backlog!$A:$A,"Task")</f>
        <v/>
      </c>
      <c r="L6" s="17">
        <f>SUMIFS(Backlog!$H:$H,Backlog!$F:$F,"DE",Backlog!$G:$G,"S11",Backlog!$A:$A,"Task")</f>
        <v/>
      </c>
      <c r="M6" s="17">
        <f>SUMIFS(Backlog!$H:$H,Backlog!$F:$F,"DE",Backlog!$G:$G,"S12",Backlog!$A:$A,"Task")</f>
        <v/>
      </c>
    </row>
    <row r="7">
      <c r="A7" s="16" t="inlineStr">
        <is>
          <t>SAS - SAS Developer #1 (Model 1 / Group 2)</t>
        </is>
      </c>
      <c r="B7" s="17">
        <f>SUMIFS(Backlog!$H:$H,Backlog!$F:$F,"SAS",Backlog!$G:$G,"S1",Backlog!$A:$A,"Task")</f>
        <v/>
      </c>
      <c r="C7" s="17">
        <f>SUMIFS(Backlog!$H:$H,Backlog!$F:$F,"SAS",Backlog!$G:$G,"S2",Backlog!$A:$A,"Task")</f>
        <v/>
      </c>
      <c r="D7" s="17">
        <f>SUMIFS(Backlog!$H:$H,Backlog!$F:$F,"SAS",Backlog!$G:$G,"S3",Backlog!$A:$A,"Task")</f>
        <v/>
      </c>
      <c r="E7" s="17">
        <f>SUMIFS(Backlog!$H:$H,Backlog!$F:$F,"SAS",Backlog!$G:$G,"S4",Backlog!$A:$A,"Task")</f>
        <v/>
      </c>
      <c r="F7" s="18">
        <f>SUMIFS(Backlog!$H:$H,Backlog!$F:$F,"SAS",Backlog!$G:$G,"S5",Backlog!$A:$A,"Task")</f>
        <v/>
      </c>
      <c r="G7" s="17">
        <f>SUMIFS(Backlog!$H:$H,Backlog!$F:$F,"SAS",Backlog!$G:$G,"S6",Backlog!$A:$A,"Task")</f>
        <v/>
      </c>
      <c r="H7" s="17">
        <f>SUMIFS(Backlog!$H:$H,Backlog!$F:$F,"SAS",Backlog!$G:$G,"S7",Backlog!$A:$A,"Task")</f>
        <v/>
      </c>
      <c r="I7" s="17">
        <f>SUMIFS(Backlog!$H:$H,Backlog!$F:$F,"SAS",Backlog!$G:$G,"S8",Backlog!$A:$A,"Task")</f>
        <v/>
      </c>
      <c r="J7" s="17">
        <f>SUMIFS(Backlog!$H:$H,Backlog!$F:$F,"SAS",Backlog!$G:$G,"S9",Backlog!$A:$A,"Task")</f>
        <v/>
      </c>
      <c r="K7" s="17">
        <f>SUMIFS(Backlog!$H:$H,Backlog!$F:$F,"SAS",Backlog!$G:$G,"S10",Backlog!$A:$A,"Task")</f>
        <v/>
      </c>
      <c r="L7" s="17">
        <f>SUMIFS(Backlog!$H:$H,Backlog!$F:$F,"SAS",Backlog!$G:$G,"S11",Backlog!$A:$A,"Task")</f>
        <v/>
      </c>
      <c r="M7" s="17">
        <f>SUMIFS(Backlog!$H:$H,Backlog!$F:$F,"SAS",Backlog!$G:$G,"S12",Backlog!$A:$A,"Task")</f>
        <v/>
      </c>
    </row>
    <row r="8">
      <c r="A8" s="16" t="inlineStr">
        <is>
          <t>SAS2 - SAS Developer #2 (Model 2 / Group 2)</t>
        </is>
      </c>
      <c r="B8" s="17">
        <f>SUMIFS(Backlog!$H:$H,Backlog!$F:$F,"SAS2",Backlog!$G:$G,"S1",Backlog!$A:$A,"Task")</f>
        <v/>
      </c>
      <c r="C8" s="17">
        <f>SUMIFS(Backlog!$H:$H,Backlog!$F:$F,"SAS2",Backlog!$G:$G,"S2",Backlog!$A:$A,"Task")</f>
        <v/>
      </c>
      <c r="D8" s="17">
        <f>SUMIFS(Backlog!$H:$H,Backlog!$F:$F,"SAS2",Backlog!$G:$G,"S3",Backlog!$A:$A,"Task")</f>
        <v/>
      </c>
      <c r="E8" s="17">
        <f>SUMIFS(Backlog!$H:$H,Backlog!$F:$F,"SAS2",Backlog!$G:$G,"S4",Backlog!$A:$A,"Task")</f>
        <v/>
      </c>
      <c r="F8" s="17">
        <f>SUMIFS(Backlog!$H:$H,Backlog!$F:$F,"SAS2",Backlog!$G:$G,"S5",Backlog!$A:$A,"Task")</f>
        <v/>
      </c>
      <c r="G8" s="18">
        <f>SUMIFS(Backlog!$H:$H,Backlog!$F:$F,"SAS2",Backlog!$G:$G,"S6",Backlog!$A:$A,"Task")</f>
        <v/>
      </c>
      <c r="H8" s="17">
        <f>SUMIFS(Backlog!$H:$H,Backlog!$F:$F,"SAS2",Backlog!$G:$G,"S7",Backlog!$A:$A,"Task")</f>
        <v/>
      </c>
      <c r="I8" s="17">
        <f>SUMIFS(Backlog!$H:$H,Backlog!$F:$F,"SAS2",Backlog!$G:$G,"S8",Backlog!$A:$A,"Task")</f>
        <v/>
      </c>
      <c r="J8" s="17">
        <f>SUMIFS(Backlog!$H:$H,Backlog!$F:$F,"SAS2",Backlog!$G:$G,"S9",Backlog!$A:$A,"Task")</f>
        <v/>
      </c>
      <c r="K8" s="17">
        <f>SUMIFS(Backlog!$H:$H,Backlog!$F:$F,"SAS2",Backlog!$G:$G,"S10",Backlog!$A:$A,"Task")</f>
        <v/>
      </c>
      <c r="L8" s="17">
        <f>SUMIFS(Backlog!$H:$H,Backlog!$F:$F,"SAS2",Backlog!$G:$G,"S11",Backlog!$A:$A,"Task")</f>
        <v/>
      </c>
      <c r="M8" s="17">
        <f>SUMIFS(Backlog!$H:$H,Backlog!$F:$F,"SAS2",Backlog!$G:$G,"S12",Backlog!$A:$A,"Task")</f>
        <v/>
      </c>
    </row>
    <row r="9">
      <c r="A9" s="16" t="inlineStr">
        <is>
          <t>SAS3 - SAS Developer #3 (Group 2, from S8)</t>
        </is>
      </c>
      <c r="B9" s="20">
        <f>SUMIFS(Backlog!$H:$H,Backlog!$F:$F,"SAS3",Backlog!$G:$G,"S1",Backlog!$A:$A,"Task")</f>
        <v/>
      </c>
      <c r="C9" s="20">
        <f>SUMIFS(Backlog!$H:$H,Backlog!$F:$F,"SAS3",Backlog!$G:$G,"S2",Backlog!$A:$A,"Task")</f>
        <v/>
      </c>
      <c r="D9" s="20">
        <f>SUMIFS(Backlog!$H:$H,Backlog!$F:$F,"SAS3",Backlog!$G:$G,"S3",Backlog!$A:$A,"Task")</f>
        <v/>
      </c>
      <c r="E9" s="20">
        <f>SUMIFS(Backlog!$H:$H,Backlog!$F:$F,"SAS3",Backlog!$G:$G,"S4",Backlog!$A:$A,"Task")</f>
        <v/>
      </c>
      <c r="F9" s="20">
        <f>SUMIFS(Backlog!$H:$H,Backlog!$F:$F,"SAS3",Backlog!$G:$G,"S5",Backlog!$A:$A,"Task")</f>
        <v/>
      </c>
      <c r="G9" s="20">
        <f>SUMIFS(Backlog!$H:$H,Backlog!$F:$F,"SAS3",Backlog!$G:$G,"S6",Backlog!$A:$A,"Task")</f>
        <v/>
      </c>
      <c r="H9" s="20">
        <f>SUMIFS(Backlog!$H:$H,Backlog!$F:$F,"SAS3",Backlog!$G:$G,"S7",Backlog!$A:$A,"Task")</f>
        <v/>
      </c>
      <c r="I9" s="17">
        <f>SUMIFS(Backlog!$H:$H,Backlog!$F:$F,"SAS3",Backlog!$G:$G,"S8",Backlog!$A:$A,"Task")</f>
        <v/>
      </c>
      <c r="J9" s="17">
        <f>SUMIFS(Backlog!$H:$H,Backlog!$F:$F,"SAS3",Backlog!$G:$G,"S9",Backlog!$A:$A,"Task")</f>
        <v/>
      </c>
      <c r="K9" s="17">
        <f>SUMIFS(Backlog!$H:$H,Backlog!$F:$F,"SAS3",Backlog!$G:$G,"S10",Backlog!$A:$A,"Task")</f>
        <v/>
      </c>
      <c r="L9" s="17">
        <f>SUMIFS(Backlog!$H:$H,Backlog!$F:$F,"SAS3",Backlog!$G:$G,"S11",Backlog!$A:$A,"Task")</f>
        <v/>
      </c>
      <c r="M9" s="17">
        <f>SUMIFS(Backlog!$H:$H,Backlog!$F:$F,"SAS3",Backlog!$G:$G,"S12",Backlog!$A:$A,"Task")</f>
        <v/>
      </c>
    </row>
    <row r="10">
      <c r="A10" s="16" t="inlineStr">
        <is>
          <t>DevOps - DevOps Engineer</t>
        </is>
      </c>
      <c r="B10" s="17">
        <f>SUMIFS(Backlog!$H:$H,Backlog!$F:$F,"DevOps",Backlog!$G:$G,"S1",Backlog!$A:$A,"Task")</f>
        <v/>
      </c>
      <c r="C10" s="19">
        <f>SUMIFS(Backlog!$H:$H,Backlog!$F:$F,"DevOps",Backlog!$G:$G,"S2",Backlog!$A:$A,"Task")</f>
        <v/>
      </c>
      <c r="D10" s="17">
        <f>SUMIFS(Backlog!$H:$H,Backlog!$F:$F,"DevOps",Backlog!$G:$G,"S3",Backlog!$A:$A,"Task")</f>
        <v/>
      </c>
      <c r="E10" s="17">
        <f>SUMIFS(Backlog!$H:$H,Backlog!$F:$F,"DevOps",Backlog!$G:$G,"S4",Backlog!$A:$A,"Task")</f>
        <v/>
      </c>
      <c r="F10" s="17">
        <f>SUMIFS(Backlog!$H:$H,Backlog!$F:$F,"DevOps",Backlog!$G:$G,"S5",Backlog!$A:$A,"Task")</f>
        <v/>
      </c>
      <c r="G10" s="17">
        <f>SUMIFS(Backlog!$H:$H,Backlog!$F:$F,"DevOps",Backlog!$G:$G,"S6",Backlog!$A:$A,"Task")</f>
        <v/>
      </c>
      <c r="H10" s="17">
        <f>SUMIFS(Backlog!$H:$H,Backlog!$F:$F,"DevOps",Backlog!$G:$G,"S7",Backlog!$A:$A,"Task")</f>
        <v/>
      </c>
      <c r="I10" s="17">
        <f>SUMIFS(Backlog!$H:$H,Backlog!$F:$F,"DevOps",Backlog!$G:$G,"S8",Backlog!$A:$A,"Task")</f>
        <v/>
      </c>
      <c r="J10" s="17">
        <f>SUMIFS(Backlog!$H:$H,Backlog!$F:$F,"DevOps",Backlog!$G:$G,"S9",Backlog!$A:$A,"Task")</f>
        <v/>
      </c>
      <c r="K10" s="17">
        <f>SUMIFS(Backlog!$H:$H,Backlog!$F:$F,"DevOps",Backlog!$G:$G,"S10",Backlog!$A:$A,"Task")</f>
        <v/>
      </c>
      <c r="L10" s="17">
        <f>SUMIFS(Backlog!$H:$H,Backlog!$F:$F,"DevOps",Backlog!$G:$G,"S11",Backlog!$A:$A,"Task")</f>
        <v/>
      </c>
      <c r="M10" s="17">
        <f>SUMIFS(Backlog!$H:$H,Backlog!$F:$F,"DevOps",Backlog!$G:$G,"S12",Backlog!$A:$A,"Task")</f>
        <v/>
      </c>
    </row>
    <row r="11">
      <c r="A11" s="16" t="inlineStr">
        <is>
          <t>TL - Tech Lead (Vishnu)</t>
        </is>
      </c>
      <c r="B11" s="17">
        <f>SUMIFS(Backlog!$H:$H,Backlog!$F:$F,"TL",Backlog!$G:$G,"S1",Backlog!$A:$A,"Task")</f>
        <v/>
      </c>
      <c r="C11" s="18">
        <f>SUMIFS(Backlog!$H:$H,Backlog!$F:$F,"TL",Backlog!$G:$G,"S2",Backlog!$A:$A,"Task")</f>
        <v/>
      </c>
      <c r="D11" s="17">
        <f>SUMIFS(Backlog!$H:$H,Backlog!$F:$F,"TL",Backlog!$G:$G,"S3",Backlog!$A:$A,"Task")</f>
        <v/>
      </c>
      <c r="E11" s="17">
        <f>SUMIFS(Backlog!$H:$H,Backlog!$F:$F,"TL",Backlog!$G:$G,"S4",Backlog!$A:$A,"Task")</f>
        <v/>
      </c>
      <c r="F11" s="17">
        <f>SUMIFS(Backlog!$H:$H,Backlog!$F:$F,"TL",Backlog!$G:$G,"S5",Backlog!$A:$A,"Task")</f>
        <v/>
      </c>
      <c r="G11" s="19">
        <f>SUMIFS(Backlog!$H:$H,Backlog!$F:$F,"TL",Backlog!$G:$G,"S6",Backlog!$A:$A,"Task")</f>
        <v/>
      </c>
      <c r="H11" s="17">
        <f>SUMIFS(Backlog!$H:$H,Backlog!$F:$F,"TL",Backlog!$G:$G,"S7",Backlog!$A:$A,"Task")</f>
        <v/>
      </c>
      <c r="I11" s="19">
        <f>SUMIFS(Backlog!$H:$H,Backlog!$F:$F,"TL",Backlog!$G:$G,"S8",Backlog!$A:$A,"Task")</f>
        <v/>
      </c>
      <c r="J11" s="17">
        <f>SUMIFS(Backlog!$H:$H,Backlog!$F:$F,"TL",Backlog!$G:$G,"S9",Backlog!$A:$A,"Task")</f>
        <v/>
      </c>
      <c r="K11" s="17">
        <f>SUMIFS(Backlog!$H:$H,Backlog!$F:$F,"TL",Backlog!$G:$G,"S10",Backlog!$A:$A,"Task")</f>
        <v/>
      </c>
      <c r="L11" s="17">
        <f>SUMIFS(Backlog!$H:$H,Backlog!$F:$F,"TL",Backlog!$G:$G,"S11",Backlog!$A:$A,"Task")</f>
        <v/>
      </c>
      <c r="M11" s="19">
        <f>SUMIFS(Backlog!$H:$H,Backlog!$F:$F,"TL",Backlog!$G:$G,"S12",Backlog!$A:$A,"Task")</f>
        <v/>
      </c>
    </row>
    <row r="12">
      <c r="A12" s="3" t="inlineStr">
        <is>
          <t>Capacity (cap)</t>
        </is>
      </c>
      <c r="B12" s="21" t="inlineStr">
        <is>
          <t>8 / TL 6</t>
        </is>
      </c>
      <c r="C12" s="21" t="inlineStr">
        <is>
          <t>8 / TL 6</t>
        </is>
      </c>
      <c r="D12" s="21" t="inlineStr">
        <is>
          <t>8 / TL 6</t>
        </is>
      </c>
      <c r="E12" s="21" t="inlineStr">
        <is>
          <t>8 / TL 6</t>
        </is>
      </c>
      <c r="F12" s="21" t="inlineStr">
        <is>
          <t>8 / TL 6</t>
        </is>
      </c>
      <c r="G12" s="21" t="inlineStr">
        <is>
          <t>8 / TL 6</t>
        </is>
      </c>
      <c r="H12" s="21" t="inlineStr">
        <is>
          <t>8 / TL 6</t>
        </is>
      </c>
      <c r="I12" s="21" t="inlineStr">
        <is>
          <t>8 / TL 6</t>
        </is>
      </c>
      <c r="J12" s="21" t="inlineStr">
        <is>
          <t>8 / TL 6</t>
        </is>
      </c>
      <c r="K12" s="21" t="inlineStr">
        <is>
          <t>8 / TL 6</t>
        </is>
      </c>
      <c r="L12" s="21" t="inlineStr">
        <is>
          <t>8 / TL 6</t>
        </is>
      </c>
      <c r="M12" s="21" t="inlineStr">
        <is>
          <t>8 / TL 6</t>
        </is>
      </c>
    </row>
    <row r="14">
      <c r="A14" s="2" t="inlineStr">
        <is>
          <t>Green = loaded within capacity | Yellow = near cap (&lt;=1d slack) | Red = over capacity (re-plan) | Grey = off-team (SAS3 before S8) | Light = idle. Fills reflect the committed plan; values recalc live via SUMIFS. AWS2 idle late = redeploy lever (see README).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Per-Model Onboarding Tracker (10 models)</t>
        </is>
      </c>
    </row>
    <row r="3">
      <c r="A3" s="4" t="inlineStr">
        <is>
          <t>Model</t>
        </is>
      </c>
      <c r="B3" s="4" t="inlineStr">
        <is>
          <t>Group / Wave</t>
        </is>
      </c>
      <c r="C3" s="4" t="inlineStr">
        <is>
          <t>Sprint(s)</t>
        </is>
      </c>
      <c r="D3" s="4" t="inlineStr">
        <is>
          <t>SAS Owner</t>
        </is>
      </c>
      <c r="E3" s="4" t="inlineStr">
        <is>
          <t>Cadence</t>
        </is>
      </c>
      <c r="F3" s="4" t="inlineStr">
        <is>
          <t>Contract</t>
        </is>
      </c>
      <c r="G3" s="4" t="inlineStr">
        <is>
          <t>Review</t>
        </is>
      </c>
      <c r="H3" s="4" t="inlineStr">
        <is>
          <t>Optimize</t>
        </is>
      </c>
      <c r="I3" s="4" t="inlineStr">
        <is>
          <t>Package</t>
        </is>
      </c>
      <c r="J3" s="4" t="inlineStr">
        <is>
          <t>Deploy</t>
        </is>
      </c>
      <c r="K3" s="4" t="inlineStr">
        <is>
          <t>Reconcile</t>
        </is>
      </c>
      <c r="L3" s="4" t="inlineStr">
        <is>
          <t>Impl doc</t>
        </is>
      </c>
      <c r="M3" s="4" t="inlineStr">
        <is>
          <t>PIR</t>
        </is>
      </c>
      <c r="N3" s="4" t="inlineStr">
        <is>
          <t>Sign-off</t>
        </is>
      </c>
    </row>
    <row r="4">
      <c r="A4" s="12" t="inlineStr">
        <is>
          <t>Model 1</t>
        </is>
      </c>
      <c r="B4" s="14" t="inlineStr">
        <is>
          <t>Group 1</t>
        </is>
      </c>
      <c r="C4" s="14" t="inlineStr">
        <is>
          <t>S2-S8</t>
        </is>
      </c>
      <c r="D4" s="14" t="inlineStr">
        <is>
          <t>SAS</t>
        </is>
      </c>
      <c r="E4" s="14" t="inlineStr">
        <is>
          <t>TBD (ABSA)</t>
        </is>
      </c>
      <c r="F4" s="22" t="inlineStr">
        <is>
          <t>Planned</t>
        </is>
      </c>
      <c r="G4" s="22" t="inlineStr">
        <is>
          <t>Planned</t>
        </is>
      </c>
      <c r="H4" s="22" t="inlineStr">
        <is>
          <t>Planned</t>
        </is>
      </c>
      <c r="I4" s="22" t="inlineStr">
        <is>
          <t>Planned</t>
        </is>
      </c>
      <c r="J4" s="22" t="inlineStr">
        <is>
          <t>Planned</t>
        </is>
      </c>
      <c r="K4" s="22" t="inlineStr">
        <is>
          <t>Planned</t>
        </is>
      </c>
      <c r="L4" s="22" t="inlineStr">
        <is>
          <t>Planned</t>
        </is>
      </c>
      <c r="M4" s="22" t="inlineStr">
        <is>
          <t>Planned</t>
        </is>
      </c>
      <c r="N4" s="22" t="inlineStr">
        <is>
          <t>Planned</t>
        </is>
      </c>
    </row>
    <row r="5">
      <c r="A5" s="12" t="inlineStr">
        <is>
          <t>Model 2</t>
        </is>
      </c>
      <c r="B5" s="14" t="inlineStr">
        <is>
          <t>Group 1</t>
        </is>
      </c>
      <c r="C5" s="14" t="inlineStr">
        <is>
          <t>S2-S8</t>
        </is>
      </c>
      <c r="D5" s="14" t="inlineStr">
        <is>
          <t>SAS2</t>
        </is>
      </c>
      <c r="E5" s="14" t="inlineStr">
        <is>
          <t>TBD (ABSA)</t>
        </is>
      </c>
      <c r="F5" s="22" t="inlineStr">
        <is>
          <t>Planned</t>
        </is>
      </c>
      <c r="G5" s="22" t="inlineStr">
        <is>
          <t>Planned</t>
        </is>
      </c>
      <c r="H5" s="22" t="inlineStr">
        <is>
          <t>Planned</t>
        </is>
      </c>
      <c r="I5" s="22" t="inlineStr">
        <is>
          <t>Planned</t>
        </is>
      </c>
      <c r="J5" s="22" t="inlineStr">
        <is>
          <t>Planned</t>
        </is>
      </c>
      <c r="K5" s="22" t="inlineStr">
        <is>
          <t>Planned</t>
        </is>
      </c>
      <c r="L5" s="22" t="inlineStr">
        <is>
          <t>Planned</t>
        </is>
      </c>
      <c r="M5" s="22" t="inlineStr">
        <is>
          <t>Planned</t>
        </is>
      </c>
      <c r="N5" s="22" t="inlineStr">
        <is>
          <t>Planned</t>
        </is>
      </c>
    </row>
    <row r="6">
      <c r="A6" s="9" t="inlineStr">
        <is>
          <t>Model 3</t>
        </is>
      </c>
      <c r="B6" s="7" t="inlineStr">
        <is>
          <t>Group 2 W1</t>
        </is>
      </c>
      <c r="C6" s="7" t="inlineStr">
        <is>
          <t>S9</t>
        </is>
      </c>
      <c r="D6" s="7" t="inlineStr">
        <is>
          <t>SAS</t>
        </is>
      </c>
      <c r="E6" s="7" t="inlineStr">
        <is>
          <t>TBD</t>
        </is>
      </c>
      <c r="F6" s="22" t="inlineStr">
        <is>
          <t>Planned</t>
        </is>
      </c>
      <c r="G6" s="22" t="inlineStr">
        <is>
          <t>Planned</t>
        </is>
      </c>
      <c r="H6" s="22" t="inlineStr">
        <is>
          <t>Planned</t>
        </is>
      </c>
      <c r="I6" s="22" t="inlineStr">
        <is>
          <t>Planned</t>
        </is>
      </c>
      <c r="J6" s="22" t="inlineStr">
        <is>
          <t>Planned</t>
        </is>
      </c>
      <c r="K6" s="22" t="inlineStr">
        <is>
          <t>Planned</t>
        </is>
      </c>
      <c r="L6" s="22" t="inlineStr">
        <is>
          <t>Planned</t>
        </is>
      </c>
      <c r="M6" s="22" t="inlineStr">
        <is>
          <t>Planned</t>
        </is>
      </c>
      <c r="N6" s="22" t="inlineStr">
        <is>
          <t>Planned</t>
        </is>
      </c>
    </row>
    <row r="7">
      <c r="A7" s="9" t="inlineStr">
        <is>
          <t>Model 4</t>
        </is>
      </c>
      <c r="B7" s="7" t="inlineStr">
        <is>
          <t>Group 2 W1</t>
        </is>
      </c>
      <c r="C7" s="7" t="inlineStr">
        <is>
          <t>S9</t>
        </is>
      </c>
      <c r="D7" s="7" t="inlineStr">
        <is>
          <t>SAS2</t>
        </is>
      </c>
      <c r="E7" s="7" t="inlineStr">
        <is>
          <t>TBD</t>
        </is>
      </c>
      <c r="F7" s="22" t="inlineStr">
        <is>
          <t>Planned</t>
        </is>
      </c>
      <c r="G7" s="22" t="inlineStr">
        <is>
          <t>Planned</t>
        </is>
      </c>
      <c r="H7" s="22" t="inlineStr">
        <is>
          <t>Planned</t>
        </is>
      </c>
      <c r="I7" s="22" t="inlineStr">
        <is>
          <t>Planned</t>
        </is>
      </c>
      <c r="J7" s="22" t="inlineStr">
        <is>
          <t>Planned</t>
        </is>
      </c>
      <c r="K7" s="22" t="inlineStr">
        <is>
          <t>Planned</t>
        </is>
      </c>
      <c r="L7" s="22" t="inlineStr">
        <is>
          <t>Planned</t>
        </is>
      </c>
      <c r="M7" s="22" t="inlineStr">
        <is>
          <t>Planned</t>
        </is>
      </c>
      <c r="N7" s="22" t="inlineStr">
        <is>
          <t>Planned</t>
        </is>
      </c>
    </row>
    <row r="8">
      <c r="A8" s="9" t="inlineStr">
        <is>
          <t>Model 5</t>
        </is>
      </c>
      <c r="B8" s="7" t="inlineStr">
        <is>
          <t>Group 2 W1</t>
        </is>
      </c>
      <c r="C8" s="7" t="inlineStr">
        <is>
          <t>S9</t>
        </is>
      </c>
      <c r="D8" s="7" t="inlineStr">
        <is>
          <t>SAS3</t>
        </is>
      </c>
      <c r="E8" s="7" t="inlineStr">
        <is>
          <t>TBD</t>
        </is>
      </c>
      <c r="F8" s="22" t="inlineStr">
        <is>
          <t>Planned</t>
        </is>
      </c>
      <c r="G8" s="22" t="inlineStr">
        <is>
          <t>Planned</t>
        </is>
      </c>
      <c r="H8" s="22" t="inlineStr">
        <is>
          <t>Planned</t>
        </is>
      </c>
      <c r="I8" s="22" t="inlineStr">
        <is>
          <t>Planned</t>
        </is>
      </c>
      <c r="J8" s="22" t="inlineStr">
        <is>
          <t>Planned</t>
        </is>
      </c>
      <c r="K8" s="22" t="inlineStr">
        <is>
          <t>Planned</t>
        </is>
      </c>
      <c r="L8" s="22" t="inlineStr">
        <is>
          <t>Planned</t>
        </is>
      </c>
      <c r="M8" s="22" t="inlineStr">
        <is>
          <t>Planned</t>
        </is>
      </c>
      <c r="N8" s="22" t="inlineStr">
        <is>
          <t>Planned</t>
        </is>
      </c>
    </row>
    <row r="9">
      <c r="A9" s="9" t="inlineStr">
        <is>
          <t>Model 6</t>
        </is>
      </c>
      <c r="B9" s="7" t="inlineStr">
        <is>
          <t>Group 2 W2</t>
        </is>
      </c>
      <c r="C9" s="7" t="inlineStr">
        <is>
          <t>S10</t>
        </is>
      </c>
      <c r="D9" s="7" t="inlineStr">
        <is>
          <t>SAS</t>
        </is>
      </c>
      <c r="E9" s="7" t="inlineStr">
        <is>
          <t>TBD</t>
        </is>
      </c>
      <c r="F9" s="22" t="inlineStr">
        <is>
          <t>Planned</t>
        </is>
      </c>
      <c r="G9" s="22" t="inlineStr">
        <is>
          <t>Planned</t>
        </is>
      </c>
      <c r="H9" s="22" t="inlineStr">
        <is>
          <t>Planned</t>
        </is>
      </c>
      <c r="I9" s="22" t="inlineStr">
        <is>
          <t>Planned</t>
        </is>
      </c>
      <c r="J9" s="22" t="inlineStr">
        <is>
          <t>Planned</t>
        </is>
      </c>
      <c r="K9" s="22" t="inlineStr">
        <is>
          <t>Planned</t>
        </is>
      </c>
      <c r="L9" s="22" t="inlineStr">
        <is>
          <t>Planned</t>
        </is>
      </c>
      <c r="M9" s="22" t="inlineStr">
        <is>
          <t>Planned</t>
        </is>
      </c>
      <c r="N9" s="22" t="inlineStr">
        <is>
          <t>Planned</t>
        </is>
      </c>
    </row>
    <row r="10">
      <c r="A10" s="9" t="inlineStr">
        <is>
          <t>Model 7</t>
        </is>
      </c>
      <c r="B10" s="7" t="inlineStr">
        <is>
          <t>Group 2 W2</t>
        </is>
      </c>
      <c r="C10" s="7" t="inlineStr">
        <is>
          <t>S10</t>
        </is>
      </c>
      <c r="D10" s="7" t="inlineStr">
        <is>
          <t>SAS2</t>
        </is>
      </c>
      <c r="E10" s="7" t="inlineStr">
        <is>
          <t>TBD</t>
        </is>
      </c>
      <c r="F10" s="22" t="inlineStr">
        <is>
          <t>Planned</t>
        </is>
      </c>
      <c r="G10" s="22" t="inlineStr">
        <is>
          <t>Planned</t>
        </is>
      </c>
      <c r="H10" s="22" t="inlineStr">
        <is>
          <t>Planned</t>
        </is>
      </c>
      <c r="I10" s="22" t="inlineStr">
        <is>
          <t>Planned</t>
        </is>
      </c>
      <c r="J10" s="22" t="inlineStr">
        <is>
          <t>Planned</t>
        </is>
      </c>
      <c r="K10" s="22" t="inlineStr">
        <is>
          <t>Planned</t>
        </is>
      </c>
      <c r="L10" s="22" t="inlineStr">
        <is>
          <t>Planned</t>
        </is>
      </c>
      <c r="M10" s="22" t="inlineStr">
        <is>
          <t>Planned</t>
        </is>
      </c>
      <c r="N10" s="22" t="inlineStr">
        <is>
          <t>Planned</t>
        </is>
      </c>
    </row>
    <row r="11">
      <c r="A11" s="9" t="inlineStr">
        <is>
          <t>Model 8</t>
        </is>
      </c>
      <c r="B11" s="7" t="inlineStr">
        <is>
          <t>Group 2 W2</t>
        </is>
      </c>
      <c r="C11" s="7" t="inlineStr">
        <is>
          <t>S10</t>
        </is>
      </c>
      <c r="D11" s="7" t="inlineStr">
        <is>
          <t>SAS3</t>
        </is>
      </c>
      <c r="E11" s="7" t="inlineStr">
        <is>
          <t>TBD</t>
        </is>
      </c>
      <c r="F11" s="22" t="inlineStr">
        <is>
          <t>Planned</t>
        </is>
      </c>
      <c r="G11" s="22" t="inlineStr">
        <is>
          <t>Planned</t>
        </is>
      </c>
      <c r="H11" s="22" t="inlineStr">
        <is>
          <t>Planned</t>
        </is>
      </c>
      <c r="I11" s="22" t="inlineStr">
        <is>
          <t>Planned</t>
        </is>
      </c>
      <c r="J11" s="22" t="inlineStr">
        <is>
          <t>Planned</t>
        </is>
      </c>
      <c r="K11" s="22" t="inlineStr">
        <is>
          <t>Planned</t>
        </is>
      </c>
      <c r="L11" s="22" t="inlineStr">
        <is>
          <t>Planned</t>
        </is>
      </c>
      <c r="M11" s="22" t="inlineStr">
        <is>
          <t>Planned</t>
        </is>
      </c>
      <c r="N11" s="22" t="inlineStr">
        <is>
          <t>Planned</t>
        </is>
      </c>
    </row>
    <row r="12">
      <c r="A12" s="9" t="inlineStr">
        <is>
          <t>Model 9</t>
        </is>
      </c>
      <c r="B12" s="7" t="inlineStr">
        <is>
          <t>Group 2 W3</t>
        </is>
      </c>
      <c r="C12" s="7" t="inlineStr">
        <is>
          <t>S11</t>
        </is>
      </c>
      <c r="D12" s="7" t="inlineStr">
        <is>
          <t>SAS</t>
        </is>
      </c>
      <c r="E12" s="7" t="inlineStr">
        <is>
          <t>TBD</t>
        </is>
      </c>
      <c r="F12" s="22" t="inlineStr">
        <is>
          <t>Planned</t>
        </is>
      </c>
      <c r="G12" s="22" t="inlineStr">
        <is>
          <t>Planned</t>
        </is>
      </c>
      <c r="H12" s="22" t="inlineStr">
        <is>
          <t>Planned</t>
        </is>
      </c>
      <c r="I12" s="22" t="inlineStr">
        <is>
          <t>Planned</t>
        </is>
      </c>
      <c r="J12" s="22" t="inlineStr">
        <is>
          <t>Planned</t>
        </is>
      </c>
      <c r="K12" s="22" t="inlineStr">
        <is>
          <t>Planned</t>
        </is>
      </c>
      <c r="L12" s="22" t="inlineStr">
        <is>
          <t>Planned</t>
        </is>
      </c>
      <c r="M12" s="22" t="inlineStr">
        <is>
          <t>Planned</t>
        </is>
      </c>
      <c r="N12" s="22" t="inlineStr">
        <is>
          <t>Planned</t>
        </is>
      </c>
    </row>
    <row r="13">
      <c r="A13" s="9" t="inlineStr">
        <is>
          <t>Model 10</t>
        </is>
      </c>
      <c r="B13" s="7" t="inlineStr">
        <is>
          <t>Group 2 W3</t>
        </is>
      </c>
      <c r="C13" s="7" t="inlineStr">
        <is>
          <t>S11</t>
        </is>
      </c>
      <c r="D13" s="7" t="inlineStr">
        <is>
          <t>SAS2</t>
        </is>
      </c>
      <c r="E13" s="7" t="inlineStr">
        <is>
          <t>TBD</t>
        </is>
      </c>
      <c r="F13" s="22" t="inlineStr">
        <is>
          <t>Planned</t>
        </is>
      </c>
      <c r="G13" s="22" t="inlineStr">
        <is>
          <t>Planned</t>
        </is>
      </c>
      <c r="H13" s="22" t="inlineStr">
        <is>
          <t>Planned</t>
        </is>
      </c>
      <c r="I13" s="22" t="inlineStr">
        <is>
          <t>Planned</t>
        </is>
      </c>
      <c r="J13" s="22" t="inlineStr">
        <is>
          <t>Planned</t>
        </is>
      </c>
      <c r="K13" s="22" t="inlineStr">
        <is>
          <t>Planned</t>
        </is>
      </c>
      <c r="L13" s="22" t="inlineStr">
        <is>
          <t>Planned</t>
        </is>
      </c>
      <c r="M13" s="22" t="inlineStr">
        <is>
          <t>Planned</t>
        </is>
      </c>
      <c r="N13" s="22" t="inlineStr">
        <is>
          <t>Planned</t>
        </is>
      </c>
    </row>
    <row r="15">
      <c r="A15" s="2" t="inlineStr">
        <is>
          <t>Stages map to backlog tasks. Group 1 (models 1-2) is the proof; Group 2 (3-10) uses the template, 2 models/sprint split across SAS + SAS2. Update each stage cell to Done/WIP/Blocked.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3" customWidth="1" min="3" max="3"/>
    <col width="14" customWidth="1" min="4" max="4"/>
    <col width="50" customWidth="1" min="5" max="5"/>
  </cols>
  <sheetData>
    <row r="1">
      <c r="A1" s="1" t="inlineStr">
        <is>
          <t>Governance &amp; Cadence</t>
        </is>
      </c>
    </row>
    <row r="3">
      <c r="A3" s="3" t="inlineStr">
        <is>
          <t>Ceremonies</t>
        </is>
      </c>
    </row>
    <row r="4">
      <c r="A4" s="4" t="inlineStr">
        <is>
          <t>Ceremony</t>
        </is>
      </c>
      <c r="B4" s="4" t="inlineStr">
        <is>
          <t>When</t>
        </is>
      </c>
      <c r="C4" s="4" t="inlineStr">
        <is>
          <t>Who</t>
        </is>
      </c>
      <c r="D4" s="4" t="inlineStr">
        <is>
          <t>Outcome</t>
        </is>
      </c>
    </row>
    <row r="5">
      <c r="A5" s="7" t="inlineStr">
        <is>
          <t>Daily standup</t>
        </is>
      </c>
      <c r="B5" s="7" t="inlineStr">
        <is>
          <t>Every working day, 15 min</t>
        </is>
      </c>
      <c r="C5" s="7" t="inlineStr">
        <is>
          <t>All</t>
        </is>
      </c>
      <c r="D5" s="7" t="inlineStr">
        <is>
          <t>Blockers surfaced same-day</t>
        </is>
      </c>
    </row>
    <row r="6">
      <c r="A6" s="7" t="inlineStr">
        <is>
          <t>Sprint planning</t>
        </is>
      </c>
      <c r="B6" s="7" t="inlineStr">
        <is>
          <t>1st Monday of each sprint, 2h</t>
        </is>
      </c>
      <c r="C6" s="7" t="inlineStr">
        <is>
          <t>All</t>
        </is>
      </c>
      <c r="D6" s="7" t="inlineStr">
        <is>
          <t>Sprint backlog committed</t>
        </is>
      </c>
    </row>
    <row r="7">
      <c r="A7" s="7" t="inlineStr">
        <is>
          <t>Backlog refinement</t>
        </is>
      </c>
      <c r="B7" s="7" t="inlineStr">
        <is>
          <t>Mid-sprint Wednesday, 1h</t>
        </is>
      </c>
      <c r="C7" s="7" t="inlineStr">
        <is>
          <t>TL + leads</t>
        </is>
      </c>
      <c r="D7" s="7" t="inlineStr">
        <is>
          <t>Next sprint stories Ready</t>
        </is>
      </c>
    </row>
    <row r="8">
      <c r="A8" s="7" t="inlineStr">
        <is>
          <t>Sprint review + demo</t>
        </is>
      </c>
      <c r="B8" s="7" t="inlineStr">
        <is>
          <t>2nd Friday, 1h</t>
        </is>
      </c>
      <c r="C8" s="7" t="inlineStr">
        <is>
          <t>All + ABSA optional</t>
        </is>
      </c>
      <c r="D8" s="7" t="inlineStr">
        <is>
          <t>Working increment shown</t>
        </is>
      </c>
    </row>
    <row r="9">
      <c r="A9" s="7" t="inlineStr">
        <is>
          <t>Retrospective</t>
        </is>
      </c>
      <c r="B9" s="7" t="inlineStr">
        <is>
          <t>2nd Friday, 45 min</t>
        </is>
      </c>
      <c r="C9" s="7" t="inlineStr">
        <is>
          <t>All</t>
        </is>
      </c>
      <c r="D9" s="7" t="inlineStr">
        <is>
          <t>Actions logged + owned</t>
        </is>
      </c>
    </row>
    <row r="11">
      <c r="A11" s="3" t="inlineStr">
        <is>
          <t>Decision &amp; Sign-off Checkpoints</t>
        </is>
      </c>
    </row>
    <row r="12">
      <c r="A12" s="4" t="inlineStr">
        <is>
          <t>Checkpoint</t>
        </is>
      </c>
      <c r="B12" s="4" t="inlineStr">
        <is>
          <t>Sprint</t>
        </is>
      </c>
      <c r="C12" s="4" t="inlineStr">
        <is>
          <t>Target date</t>
        </is>
      </c>
      <c r="D12" s="4" t="inlineStr">
        <is>
          <t>Owner</t>
        </is>
      </c>
      <c r="E12" s="4" t="inlineStr">
        <is>
          <t>Gate criteria</t>
        </is>
      </c>
    </row>
    <row r="13">
      <c r="A13" s="7" t="inlineStr">
        <is>
          <t>Kickoff + SPOCs confirmed</t>
        </is>
      </c>
      <c r="B13" s="7" t="inlineStr">
        <is>
          <t>S1</t>
        </is>
      </c>
      <c r="C13" s="23" t="n">
        <v>46199</v>
      </c>
      <c r="D13" s="7" t="inlineStr">
        <is>
          <t>TL</t>
        </is>
      </c>
      <c r="E13" s="7" t="inlineStr">
        <is>
          <t>Charter + SPOCs signed</t>
        </is>
      </c>
    </row>
    <row r="14">
      <c r="A14" s="7" t="inlineStr">
        <is>
          <t>Jenkins cutover (GHA retired)</t>
        </is>
      </c>
      <c r="B14" s="7" t="inlineStr">
        <is>
          <t>S3</t>
        </is>
      </c>
      <c r="C14" s="23" t="n">
        <v>46227</v>
      </c>
      <c r="D14" s="7" t="inlineStr">
        <is>
          <t>DevOps</t>
        </is>
      </c>
      <c r="E14" s="7" t="inlineStr">
        <is>
          <t>Jenkins sole CI gate; branch protection flipped</t>
        </is>
      </c>
    </row>
    <row r="15">
      <c r="A15" s="7" t="inlineStr">
        <is>
          <t>Registry live in dev</t>
        </is>
      </c>
      <c r="B15" s="7" t="inlineStr">
        <is>
          <t>S4</t>
        </is>
      </c>
      <c r="C15" s="23" t="n">
        <v>46241</v>
      </c>
      <c r="D15" s="7" t="inlineStr">
        <is>
          <t>AWS</t>
        </is>
      </c>
      <c r="E15" s="7" t="inlineStr">
        <is>
          <t>SigV4 register smoke green</t>
        </is>
      </c>
    </row>
    <row r="16">
      <c r="A16" s="12" t="inlineStr">
        <is>
          <t>S5 CAPACITY REVIEW (confirm 3rd SAS + AWS ramp-down)</t>
        </is>
      </c>
      <c r="B16" s="12" t="inlineStr">
        <is>
          <t>S5</t>
        </is>
      </c>
      <c r="C16" s="24" t="n">
        <v>46255</v>
      </c>
      <c r="D16" s="12" t="inlineStr">
        <is>
          <t>TL</t>
        </is>
      </c>
      <c r="E16" s="12" t="inlineStr">
        <is>
          <t>Confirm SAS3 onboarding S8; plan AWS redeploy after S7</t>
        </is>
      </c>
    </row>
    <row r="17">
      <c r="A17" s="7" t="inlineStr">
        <is>
          <t>Dress rehearsal pass</t>
        </is>
      </c>
      <c r="B17" s="7" t="inlineStr">
        <is>
          <t>S6</t>
        </is>
      </c>
      <c r="C17" s="23" t="n">
        <v>46269</v>
      </c>
      <c r="D17" s="7" t="inlineStr">
        <is>
          <t>TL</t>
        </is>
      </c>
      <c r="E17" s="7" t="inlineStr">
        <is>
          <t>Full chain on real AWS, models 1-2</t>
        </is>
      </c>
    </row>
    <row r="18">
      <c r="A18" s="7" t="inlineStr">
        <is>
          <t>G1 production readiness (go/no-go)</t>
        </is>
      </c>
      <c r="B18" s="7" t="inlineStr">
        <is>
          <t>S8</t>
        </is>
      </c>
      <c r="C18" s="23" t="n">
        <v>46297</v>
      </c>
      <c r="D18" s="7" t="inlineStr">
        <is>
          <t>DevOps</t>
        </is>
      </c>
      <c r="E18" s="7" t="inlineStr">
        <is>
          <t>Readiness checklist + cutover rehearsal clean</t>
        </is>
      </c>
    </row>
    <row r="19">
      <c r="A19" s="12" t="inlineStr">
        <is>
          <t>GROUP 1 ABSA SIGN-OFF</t>
        </is>
      </c>
      <c r="B19" s="12" t="inlineStr">
        <is>
          <t>S8</t>
        </is>
      </c>
      <c r="C19" s="24" t="n">
        <v>46297</v>
      </c>
      <c r="D19" s="12" t="inlineStr">
        <is>
          <t>ABSA Risk</t>
        </is>
      </c>
      <c r="E19" s="12" t="inlineStr">
        <is>
          <t>Written sign-off; PIR + audit pack accepted</t>
        </is>
      </c>
    </row>
    <row r="20">
      <c r="A20" s="7" t="inlineStr">
        <is>
          <t>Steering checkpoint (mid-program)</t>
        </is>
      </c>
      <c r="B20" s="7" t="inlineStr">
        <is>
          <t>S6</t>
        </is>
      </c>
      <c r="C20" s="23" t="n">
        <v>46269</v>
      </c>
      <c r="D20" s="7" t="inlineStr">
        <is>
          <t>TL</t>
        </is>
      </c>
      <c r="E20" s="7" t="inlineStr">
        <is>
          <t>Status + risk review with ABSA + EXL sponsors</t>
        </is>
      </c>
    </row>
    <row r="21">
      <c r="A21" s="7" t="inlineStr">
        <is>
          <t>ALL 10 MODELS LIVE (Group 2 onboarding complete)</t>
        </is>
      </c>
      <c r="B21" s="7" t="inlineStr">
        <is>
          <t>S11</t>
        </is>
      </c>
      <c r="C21" s="23" t="n">
        <v>46339</v>
      </c>
      <c r="D21" s="7" t="inlineStr">
        <is>
          <t>TL</t>
        </is>
      </c>
      <c r="E21" s="7" t="inlineStr">
        <is>
          <t>Models 3-10 scoring; S12 reserved for hardening</t>
        </is>
      </c>
    </row>
    <row r="22">
      <c r="A22" s="7" t="inlineStr">
        <is>
          <t>Steering checkpoint (pre-go-live)</t>
        </is>
      </c>
      <c r="B22" s="7" t="inlineStr">
        <is>
          <t>S11</t>
        </is>
      </c>
      <c r="C22" s="23" t="n">
        <v>46339</v>
      </c>
      <c r="D22" s="7" t="inlineStr">
        <is>
          <t>TL</t>
        </is>
      </c>
      <c r="E22" s="7" t="inlineStr">
        <is>
          <t>Go-live readiness review</t>
        </is>
      </c>
    </row>
    <row r="23">
      <c r="A23" s="12" t="inlineStr">
        <is>
          <t>GROUP 2 SIGN-OFF + go-live</t>
        </is>
      </c>
      <c r="B23" s="12" t="inlineStr">
        <is>
          <t>S12</t>
        </is>
      </c>
      <c r="C23" s="24" t="n">
        <v>46353</v>
      </c>
      <c r="D23" s="12" t="inlineStr">
        <is>
          <t>ABSA Risk</t>
        </is>
      </c>
      <c r="E23" s="12" t="inlineStr">
        <is>
          <t>All 10 models signed off; steady-state begins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54" customWidth="1" min="3" max="3"/>
    <col width="12" customWidth="1" min="4" max="4"/>
    <col width="22" customWidth="1" min="5" max="5"/>
    <col width="56" customWidth="1" min="6" max="6"/>
  </cols>
  <sheetData>
    <row r="1">
      <c r="A1" s="1" t="inlineStr">
        <is>
          <t>RAID Log - Risks / Assumptions / Issues / Dependencies</t>
        </is>
      </c>
    </row>
    <row r="3">
      <c r="A3" s="4" t="inlineStr">
        <is>
          <t>Type</t>
        </is>
      </c>
      <c r="B3" s="4" t="inlineStr">
        <is>
          <t>ID</t>
        </is>
      </c>
      <c r="C3" s="4" t="inlineStr">
        <is>
          <t>Item</t>
        </is>
      </c>
      <c r="D3" s="4" t="inlineStr">
        <is>
          <t>Owner</t>
        </is>
      </c>
      <c r="E3" s="4" t="inlineStr">
        <is>
          <t>Sprint / Prob-Impact</t>
        </is>
      </c>
      <c r="F3" s="4" t="inlineStr">
        <is>
          <t>Status / Mitigation</t>
        </is>
      </c>
    </row>
    <row r="4">
      <c r="A4" s="8" t="inlineStr">
        <is>
          <t>Dependency</t>
        </is>
      </c>
      <c r="B4" s="7" t="inlineStr">
        <is>
          <t>DEP-01</t>
        </is>
      </c>
      <c r="C4" s="7" t="inlineStr">
        <is>
          <t>AWS account IDs (3 EXL + ABSA receiving)</t>
        </is>
      </c>
      <c r="D4" s="7" t="inlineStr">
        <is>
          <t>ABSA</t>
        </is>
      </c>
      <c r="E4" s="7" t="inlineStr">
        <is>
          <t>T-0304 (S2)</t>
        </is>
      </c>
      <c r="F4" s="7" t="inlineStr">
        <is>
          <t>Open - bootstrap blocked; slips downstream day-for-day</t>
        </is>
      </c>
    </row>
    <row r="5">
      <c r="A5" s="8" t="inlineStr">
        <is>
          <t>Dependency</t>
        </is>
      </c>
      <c r="B5" s="7" t="inlineStr">
        <is>
          <t>DEP-02</t>
        </is>
      </c>
      <c r="C5" s="7" t="inlineStr">
        <is>
          <t>IAM principal ARNs (kms:Verify / s3:GetObject)</t>
        </is>
      </c>
      <c r="D5" s="7" t="inlineStr">
        <is>
          <t>ABSA</t>
        </is>
      </c>
      <c r="E5" s="7" t="inlineStr">
        <is>
          <t>T-0312 (S4)</t>
        </is>
      </c>
      <c r="F5" s="7" t="inlineStr">
        <is>
          <t>Open - cross-account verify untestable</t>
        </is>
      </c>
    </row>
    <row r="6">
      <c r="A6" s="8" t="inlineStr">
        <is>
          <t>Dependency</t>
        </is>
      </c>
      <c r="B6" s="7" t="inlineStr">
        <is>
          <t>DEP-03</t>
        </is>
      </c>
      <c r="C6" s="7" t="inlineStr">
        <is>
          <t>SAS runtime Docker image + license</t>
        </is>
      </c>
      <c r="D6" s="7" t="inlineStr">
        <is>
          <t>ABSA</t>
        </is>
      </c>
      <c r="E6" s="7" t="inlineStr">
        <is>
          <t>T-0503/0504 (S2-S3)</t>
        </is>
      </c>
      <c r="F6" s="7" t="inlineStr">
        <is>
          <t>Open - SAS validation stays structural-only</t>
        </is>
      </c>
    </row>
    <row r="7">
      <c r="A7" s="8" t="inlineStr">
        <is>
          <t>Dependency</t>
        </is>
      </c>
      <c r="B7" s="7" t="inlineStr">
        <is>
          <t>DEP-04</t>
        </is>
      </c>
      <c r="C7" s="7" t="inlineStr">
        <is>
          <t>PIR system API/feed contract</t>
        </is>
      </c>
      <c r="D7" s="7" t="inlineStr">
        <is>
          <t>ABSA</t>
        </is>
      </c>
      <c r="E7" s="7" t="inlineStr">
        <is>
          <t>T-0411 (S5)</t>
        </is>
      </c>
      <c r="F7" s="7" t="inlineStr">
        <is>
          <t>Open - pir.yaml hand-maintained</t>
        </is>
      </c>
    </row>
    <row r="8">
      <c r="A8" s="8" t="inlineStr">
        <is>
          <t>Dependency</t>
        </is>
      </c>
      <c r="B8" s="7" t="inlineStr">
        <is>
          <t>DEP-05</t>
        </is>
      </c>
      <c r="C8" s="7" t="inlineStr">
        <is>
          <t>Data movement decision (S3 replication vs SFTP)</t>
        </is>
      </c>
      <c r="D8" s="7" t="inlineStr">
        <is>
          <t>ABSA</t>
        </is>
      </c>
      <c r="E8" s="7" t="inlineStr">
        <is>
          <t>T-0318/0906 (S4/S8)</t>
        </is>
      </c>
      <c r="F8" s="7" t="inlineStr">
        <is>
          <t>Open - transfer + delivery blocked</t>
        </is>
      </c>
    </row>
    <row r="9">
      <c r="A9" s="8" t="inlineStr">
        <is>
          <t>Dependency</t>
        </is>
      </c>
      <c r="B9" s="7" t="inlineStr">
        <is>
          <t>DEP-06</t>
        </is>
      </c>
      <c r="C9" s="7" t="inlineStr">
        <is>
          <t>CAB / IVU API contract</t>
        </is>
      </c>
      <c r="D9" s="7" t="inlineStr">
        <is>
          <t>ABSA</t>
        </is>
      </c>
      <c r="E9" s="7" t="inlineStr">
        <is>
          <t>T-0701 (S5)</t>
        </is>
      </c>
      <c r="F9" s="7" t="inlineStr">
        <is>
          <t>Open - change workflow manual</t>
        </is>
      </c>
    </row>
    <row r="10">
      <c r="A10" s="8" t="inlineStr">
        <is>
          <t>Dependency</t>
        </is>
      </c>
      <c r="B10" s="7" t="inlineStr">
        <is>
          <t>DEP-07</t>
        </is>
      </c>
      <c r="C10" s="7" t="inlineStr">
        <is>
          <t>Network connectivity choice (peering/TGW/PrivateLink)</t>
        </is>
      </c>
      <c r="D10" s="7" t="inlineStr">
        <is>
          <t>ABSA</t>
        </is>
      </c>
      <c r="E10" s="7" t="inlineStr">
        <is>
          <t>T-0307 (S3)</t>
        </is>
      </c>
      <c r="F10" s="7" t="inlineStr">
        <is>
          <t>Open - data plane blocked</t>
        </is>
      </c>
    </row>
    <row r="11">
      <c r="A11" s="8" t="inlineStr">
        <is>
          <t>Dependency</t>
        </is>
      </c>
      <c r="B11" s="7" t="inlineStr">
        <is>
          <t>DEP-08</t>
        </is>
      </c>
      <c r="C11" s="7" t="inlineStr">
        <is>
          <t>Approved model docs + code + benchmarks (1-2 first)</t>
        </is>
      </c>
      <c r="D11" s="7" t="inlineStr">
        <is>
          <t>ABSA</t>
        </is>
      </c>
      <c r="E11" s="7" t="inlineStr">
        <is>
          <t>T-0403/0505 (S2)</t>
        </is>
      </c>
      <c r="F11" s="7" t="inlineStr">
        <is>
          <t>Open - SAS + DE model work blocked</t>
        </is>
      </c>
    </row>
    <row r="12">
      <c r="A12" s="8" t="inlineStr">
        <is>
          <t>Dependency</t>
        </is>
      </c>
      <c r="B12" s="7" t="inlineStr">
        <is>
          <t>DEP-09</t>
        </is>
      </c>
      <c r="C12" s="7" t="inlineStr">
        <is>
          <t>LLM data-processing terms (Azure OpenAI / Anthropic): no-retention DPA + region</t>
        </is>
      </c>
      <c r="D12" s="7" t="inlineStr">
        <is>
          <t>ABSA</t>
        </is>
      </c>
      <c r="E12" s="7" t="inlineStr">
        <is>
          <t>T-1407/1403 (S5/S7)</t>
        </is>
      </c>
      <c r="F12" s="7" t="inlineStr">
        <is>
          <t>Open - gates first real IDG run (ADR-0012); manual impl-doc fallback otherwise</t>
        </is>
      </c>
    </row>
    <row r="13">
      <c r="A13" s="25" t="inlineStr">
        <is>
          <t>Risk</t>
        </is>
      </c>
      <c r="B13" s="7" t="inlineStr">
        <is>
          <t>RISK-01</t>
        </is>
      </c>
      <c r="C13" s="7" t="inlineStr">
        <is>
          <t>ABSA account onboarding delayed past S2</t>
        </is>
      </c>
      <c r="D13" s="7" t="inlineStr">
        <is>
          <t>TL</t>
        </is>
      </c>
      <c r="E13" s="7" t="inlineStr">
        <is>
          <t>High / Med</t>
        </is>
      </c>
      <c r="F13" s="7" t="inlineStr">
        <is>
          <t>2 AWS engineers + ~2d/sprint slack in S2-S5 absorb a slip; pre-stage TF + tfvars; LocalStack keeps CI green; escalate end S1</t>
        </is>
      </c>
    </row>
    <row r="14">
      <c r="A14" s="25" t="inlineStr">
        <is>
          <t>Risk</t>
        </is>
      </c>
      <c r="B14" s="7" t="inlineStr">
        <is>
          <t>RISK-02</t>
        </is>
      </c>
      <c r="C14" s="7" t="inlineStr">
        <is>
          <t>Group 1 sign-off (S8) slips, cascades to Group 2</t>
        </is>
      </c>
      <c r="D14" s="7" t="inlineStr">
        <is>
          <t>ABSA Risk</t>
        </is>
      </c>
      <c r="E14" s="7" t="inlineStr">
        <is>
          <t>Med / High</t>
        </is>
      </c>
      <c r="F14" s="7" t="inlineStr">
        <is>
          <t>Models 1-2 run in PARALLEL (2 SAS) from S2; dress rehearsal S6; defect buffer S7-S8</t>
        </is>
      </c>
    </row>
    <row r="15">
      <c r="A15" s="25" t="inlineStr">
        <is>
          <t>Risk</t>
        </is>
      </c>
      <c r="B15" s="7" t="inlineStr">
        <is>
          <t>RISK-03</t>
        </is>
      </c>
      <c r="C15" s="7" t="inlineStr">
        <is>
          <t>Compute platform choice (D04) blocks S5 build</t>
        </is>
      </c>
      <c r="D15" s="7" t="inlineStr">
        <is>
          <t>TL</t>
        </is>
      </c>
      <c r="E15" s="7" t="inlineStr">
        <is>
          <t>Med / Med</t>
        </is>
      </c>
      <c r="F15" s="7" t="inlineStr">
        <is>
          <t>Decision required end S3 at architecture board; AWS2 owns it</t>
        </is>
      </c>
    </row>
    <row r="16">
      <c r="A16" s="25" t="inlineStr">
        <is>
          <t>Risk</t>
        </is>
      </c>
      <c r="B16" s="7" t="inlineStr">
        <is>
          <t>RISK-04</t>
        </is>
      </c>
      <c r="C16" s="7" t="inlineStr">
        <is>
          <t>Benchmark reconciliation discrepancies force rewrite</t>
        </is>
      </c>
      <c r="D16" s="7" t="inlineStr">
        <is>
          <t>SAS</t>
        </is>
      </c>
      <c r="E16" s="7" t="inlineStr">
        <is>
          <t>Med / High</t>
        </is>
      </c>
      <c r="F16" s="7" t="inlineStr">
        <is>
          <t>Incremental validation; per-variable delta report; tolerance bands agreed early; S11 float + S12 hardening absorb rework</t>
        </is>
      </c>
    </row>
    <row r="17">
      <c r="A17" s="25" t="inlineStr">
        <is>
          <t>Risk</t>
        </is>
      </c>
      <c r="B17" s="7" t="inlineStr">
        <is>
          <t>RISK-05</t>
        </is>
      </c>
      <c r="C17" s="7" t="inlineStr">
        <is>
          <t>3rd SAS dev not sourced in time for S8 onboarding</t>
        </is>
      </c>
      <c r="D17" s="7" t="inlineStr">
        <is>
          <t>TL</t>
        </is>
      </c>
      <c r="E17" s="7" t="inlineStr">
        <is>
          <t>Med / Med</t>
        </is>
      </c>
      <c r="F17" s="7" t="inlineStr">
        <is>
          <t>Start sourcing S6; 2 SAS from S1 already cover Group 2 at ~2 models/sprint as fallback (S9-S12)</t>
        </is>
      </c>
    </row>
    <row r="18">
      <c r="A18" s="25" t="inlineStr">
        <is>
          <t>Risk</t>
        </is>
      </c>
      <c r="B18" s="7" t="inlineStr">
        <is>
          <t>RISK-06</t>
        </is>
      </c>
      <c r="C18" s="7" t="inlineStr">
        <is>
          <t>Signature byte-equivalence fails GHA vs Jenkins</t>
        </is>
      </c>
      <c r="D18" s="7" t="inlineStr">
        <is>
          <t>DevOps</t>
        </is>
      </c>
      <c r="E18" s="7" t="inlineStr">
        <is>
          <t>Low / High</t>
        </is>
      </c>
      <c r="F18" s="7" t="inlineStr">
        <is>
          <t>S3 parallel-run week compares digests before cutover</t>
        </is>
      </c>
    </row>
    <row r="19">
      <c r="A19" s="25" t="inlineStr">
        <is>
          <t>Risk</t>
        </is>
      </c>
      <c r="B19" s="7" t="inlineStr">
        <is>
          <t>RISK-07</t>
        </is>
      </c>
      <c r="C19" s="7" t="inlineStr">
        <is>
          <t>DevOps single-person peaks (S2 7.0, S6 6.5) - no DevOps redundancy</t>
        </is>
      </c>
      <c r="D19" s="7" t="inlineStr">
        <is>
          <t>TL</t>
        </is>
      </c>
      <c r="E19" s="7" t="inlineStr">
        <is>
          <t>Med / Med</t>
        </is>
      </c>
      <c r="F19" s="7" t="inlineStr">
        <is>
          <t>TL pairs on Jenkins/dashboards at peaks; only un-doubled role - watch at S2/S6</t>
        </is>
      </c>
    </row>
    <row r="20">
      <c r="A20" s="26" t="inlineStr">
        <is>
          <t>Assumption</t>
        </is>
      </c>
      <c r="B20" s="7" t="inlineStr">
        <is>
          <t>ASM-01</t>
        </is>
      </c>
      <c r="C20" s="7" t="inlineStr">
        <is>
          <t>9-person team funded from S1 (3 AWS, 3 SAS [1 from S8], DE, DevOps, TL)</t>
        </is>
      </c>
      <c r="D20" s="7" t="inlineStr">
        <is>
          <t>TL</t>
        </is>
      </c>
      <c r="E20" s="7" t="inlineStr">
        <is>
          <t>All</t>
        </is>
      </c>
      <c r="F20" s="7" t="inlineStr">
        <is>
          <t>Max-coverage shape chosen to make 12 sprints solid with absorption buffer</t>
        </is>
      </c>
    </row>
    <row r="21">
      <c r="A21" s="26" t="inlineStr">
        <is>
          <t>Assumption</t>
        </is>
      </c>
      <c r="B21" s="7" t="inlineStr">
        <is>
          <t>ASM-02</t>
        </is>
      </c>
      <c r="C21" s="7" t="inlineStr">
        <is>
          <t>AWS2 redeploys or ramps down after S7 once foundation is built</t>
        </is>
      </c>
      <c r="D21" s="7" t="inlineStr">
        <is>
          <t>TL</t>
        </is>
      </c>
      <c r="E21" s="7" t="inlineStr">
        <is>
          <t>S8+</t>
        </is>
      </c>
      <c r="F21" s="7" t="inlineStr">
        <is>
          <t>Foundation is front-loaded; AWS load drops sharply S8-S12. 3rd AWS dropped (was under-utilized) - 2 carry the ~62-day AWS workload</t>
        </is>
      </c>
    </row>
    <row r="22">
      <c r="A22" s="26" t="inlineStr">
        <is>
          <t>Assumption</t>
        </is>
      </c>
      <c r="B22" s="7" t="inlineStr">
        <is>
          <t>ASM-03</t>
        </is>
      </c>
      <c r="C22" s="7" t="inlineStr">
        <is>
          <t>All 10 models fit standard-batch / scalable-batch templates</t>
        </is>
      </c>
      <c r="D22" s="7" t="inlineStr">
        <is>
          <t>TL</t>
        </is>
      </c>
      <c r="E22" s="7" t="inlineStr">
        <is>
          <t>S6+</t>
        </is>
      </c>
      <c r="F22" s="7" t="inlineStr">
        <is>
          <t>Realtime tier is a placeholder; a realtime model would add scope</t>
        </is>
      </c>
    </row>
    <row r="23">
      <c r="A23" s="26" t="inlineStr">
        <is>
          <t>Assumption</t>
        </is>
      </c>
      <c r="B23" s="7" t="inlineStr">
        <is>
          <t>ASM-04</t>
        </is>
      </c>
      <c r="C23" s="7" t="inlineStr">
        <is>
          <t>ABSA benchmarks are deterministic + reproducible</t>
        </is>
      </c>
      <c r="D23" s="7" t="inlineStr">
        <is>
          <t>SAS</t>
        </is>
      </c>
      <c r="E23" s="7" t="inlineStr">
        <is>
          <t>S4+</t>
        </is>
      </c>
      <c r="F23" s="7" t="inlineStr">
        <is>
          <t>Required for tolerance-band reconciliation to be meaningful</t>
        </is>
      </c>
    </row>
    <row r="24">
      <c r="A24" s="26" t="inlineStr">
        <is>
          <t>Assumption</t>
        </is>
      </c>
      <c r="B24" s="7" t="inlineStr">
        <is>
          <t>ASM-05</t>
        </is>
      </c>
      <c r="C24" s="7" t="inlineStr">
        <is>
          <t>IDG sends the LLM code + docs + metadata ONLY - never raw data / PII</t>
        </is>
      </c>
      <c r="D24" s="7" t="inlineStr">
        <is>
          <t>TL</t>
        </is>
      </c>
      <c r="E24" s="7" t="inlineStr">
        <is>
          <t>S7+</t>
        </is>
      </c>
      <c r="F24" s="7" t="inlineStr">
        <is>
          <t>ADR-0012 data-minimisation guard; keeps IDG consistent with the data-residency posture (ADR-0001)</t>
        </is>
      </c>
    </row>
    <row r="25">
      <c r="A25" s="27" t="inlineStr">
        <is>
          <t>Issue</t>
        </is>
      </c>
      <c r="B25" s="7" t="inlineStr">
        <is>
          <t>ISS-00</t>
        </is>
      </c>
      <c r="C25" s="7" t="inlineStr">
        <is>
          <t>(none logged yet - populate during delivery)</t>
        </is>
      </c>
      <c r="D25" s="7" t="inlineStr">
        <is>
          <t>TL</t>
        </is>
      </c>
      <c r="E25" s="7" t="inlineStr">
        <is>
          <t>-</t>
        </is>
      </c>
      <c r="F25" s="7" t="inlineStr">
        <is>
          <t>-</t>
        </is>
      </c>
    </row>
    <row r="27">
      <c r="A27" s="3" t="inlineStr">
        <is>
          <t>Internal prerequisites (Sprint 0 / Sprint 1)</t>
        </is>
      </c>
    </row>
    <row r="28">
      <c r="A28" s="4" t="inlineStr">
        <is>
          <t>ID</t>
        </is>
      </c>
      <c r="B28" s="4" t="inlineStr">
        <is>
          <t>Item</t>
        </is>
      </c>
      <c r="C28" s="4" t="inlineStr">
        <is>
          <t>Owner</t>
        </is>
      </c>
      <c r="D28" s="4" t="inlineStr">
        <is>
          <t>When</t>
        </is>
      </c>
    </row>
    <row r="29">
      <c r="A29" s="7" t="inlineStr">
        <is>
          <t>PRE-01</t>
        </is>
      </c>
      <c r="B29" s="7" t="inlineStr">
        <is>
          <t>Jira/ADO project + board created</t>
        </is>
      </c>
      <c r="C29" s="7" t="inlineStr">
        <is>
          <t>TL</t>
        </is>
      </c>
      <c r="D29" s="7" t="inlineStr">
        <is>
          <t>Before S1 planning</t>
        </is>
      </c>
    </row>
    <row r="30">
      <c r="A30" s="7" t="inlineStr">
        <is>
          <t>PRE-02</t>
        </is>
      </c>
      <c r="B30" s="7" t="inlineStr">
        <is>
          <t>GitHub repo write access for all engineers + CODEOWNERS updated</t>
        </is>
      </c>
      <c r="C30" s="7" t="inlineStr">
        <is>
          <t>TL</t>
        </is>
      </c>
      <c r="D30" s="7" t="inlineStr">
        <is>
          <t>Before S1 day 1</t>
        </is>
      </c>
    </row>
    <row r="31">
      <c r="A31" s="7" t="inlineStr">
        <is>
          <t>PRE-03</t>
        </is>
      </c>
      <c r="B31" s="7" t="inlineStr">
        <is>
          <t>Jenkins admin access for DevOps engineer</t>
        </is>
      </c>
      <c r="C31" s="7" t="inlineStr">
        <is>
          <t>DevOps</t>
        </is>
      </c>
      <c r="D31" s="7" t="inlineStr">
        <is>
          <t>Before S1 day 1</t>
        </is>
      </c>
    </row>
    <row r="32">
      <c r="A32" s="7" t="inlineStr">
        <is>
          <t>PRE-04</t>
        </is>
      </c>
      <c r="B32" s="7" t="inlineStr">
        <is>
          <t>AWS sandbox account access for AWS engineer</t>
        </is>
      </c>
      <c r="C32" s="7" t="inlineStr">
        <is>
          <t>AWS</t>
        </is>
      </c>
      <c r="D32" s="7" t="inlineStr">
        <is>
          <t>Before S1 day 1</t>
        </is>
      </c>
    </row>
    <row r="33">
      <c r="A33" s="7" t="inlineStr">
        <is>
          <t>PRE-05</t>
        </is>
      </c>
      <c r="B33" s="7" t="inlineStr">
        <is>
          <t>Dev machines: uv, Docker Desktop, Terraform 1.9.5, Python 3.12</t>
        </is>
      </c>
      <c r="C33" s="7" t="inlineStr">
        <is>
          <t>All</t>
        </is>
      </c>
      <c r="D33" s="7" t="inlineStr">
        <is>
          <t>S1 day 1-2</t>
        </is>
      </c>
    </row>
    <row r="34">
      <c r="A34" s="7" t="inlineStr">
        <is>
          <t>PRE-06</t>
        </is>
      </c>
      <c r="B34" s="7" t="inlineStr">
        <is>
          <t>Slack/Teams channel + ceremony invites</t>
        </is>
      </c>
      <c r="C34" s="7" t="inlineStr">
        <is>
          <t>TL</t>
        </is>
      </c>
      <c r="D34" s="7" t="inlineStr">
        <is>
          <t>Before S1 planning</t>
        </is>
      </c>
    </row>
    <row r="35">
      <c r="A35" s="7" t="inlineStr">
        <is>
          <t>PRE-07</t>
        </is>
      </c>
      <c r="B35" s="7" t="inlineStr">
        <is>
          <t>SAS desktop/dev license (interim until ABSA runtime)</t>
        </is>
      </c>
      <c r="C35" s="7" t="inlineStr">
        <is>
          <t>SAS</t>
        </is>
      </c>
      <c r="D35" s="7" t="inlineStr">
        <is>
          <t>S1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8" customWidth="1" min="3" max="3"/>
    <col width="10" customWidth="1" min="4" max="4"/>
    <col width="8" customWidth="1" min="5" max="5"/>
    <col width="5" customWidth="1" min="6" max="6"/>
    <col width="10" customWidth="1" min="7" max="7"/>
    <col width="8" customWidth="1" min="8" max="8"/>
  </cols>
  <sheetData>
    <row r="1">
      <c r="A1" s="1" t="inlineStr">
        <is>
          <t>Delivery Dashboard</t>
        </is>
      </c>
    </row>
    <row r="3">
      <c r="A3" s="3" t="inlineStr">
        <is>
          <t>Tasks by Status</t>
        </is>
      </c>
      <c r="D3" s="3" t="inlineStr">
        <is>
          <t>Effort by Role (d)</t>
        </is>
      </c>
    </row>
    <row r="4">
      <c r="A4" s="4" t="inlineStr">
        <is>
          <t>Status</t>
        </is>
      </c>
      <c r="B4" s="4" t="inlineStr">
        <is>
          <t>Count</t>
        </is>
      </c>
      <c r="D4" s="28" t="inlineStr">
        <is>
          <t>Role</t>
        </is>
      </c>
      <c r="E4" s="28" t="inlineStr">
        <is>
          <t>Days</t>
        </is>
      </c>
    </row>
    <row r="5">
      <c r="A5" s="29" t="inlineStr">
        <is>
          <t>Planned</t>
        </is>
      </c>
      <c r="B5" s="30">
        <f>COUNTIFS(Backlog!$M:$M,"Planned",Backlog!$A:$A,"Task")</f>
        <v/>
      </c>
      <c r="D5" s="29" t="inlineStr">
        <is>
          <t>AWS</t>
        </is>
      </c>
      <c r="E5" s="29">
        <f>SUMIFS(Backlog!$H:$H,Backlog!$F:$F,"AWS",Backlog!$A:$A,"Task")</f>
        <v/>
      </c>
    </row>
    <row r="6">
      <c r="A6" s="29" t="inlineStr">
        <is>
          <t>In Progress</t>
        </is>
      </c>
      <c r="B6" s="30">
        <f>COUNTIFS(Backlog!$M:$M,"In Progress",Backlog!$A:$A,"Task")</f>
        <v/>
      </c>
      <c r="D6" s="29" t="inlineStr">
        <is>
          <t>AWS2</t>
        </is>
      </c>
      <c r="E6" s="29">
        <f>SUMIFS(Backlog!$H:$H,Backlog!$F:$F,"AWS2",Backlog!$A:$A,"Task")</f>
        <v/>
      </c>
    </row>
    <row r="7">
      <c r="A7" s="29" t="inlineStr">
        <is>
          <t>Done</t>
        </is>
      </c>
      <c r="B7" s="30">
        <f>COUNTIFS(Backlog!$M:$M,"Done",Backlog!$A:$A,"Task")</f>
        <v/>
      </c>
      <c r="D7" s="29" t="inlineStr">
        <is>
          <t>DE</t>
        </is>
      </c>
      <c r="E7" s="29">
        <f>SUMIFS(Backlog!$H:$H,Backlog!$F:$F,"DE",Backlog!$A:$A,"Task")</f>
        <v/>
      </c>
    </row>
    <row r="8">
      <c r="A8" s="29" t="inlineStr">
        <is>
          <t>Blocked</t>
        </is>
      </c>
      <c r="B8" s="30">
        <f>COUNTIFS(Backlog!$M:$M,"Blocked",Backlog!$A:$A,"Task")</f>
        <v/>
      </c>
      <c r="D8" s="29" t="inlineStr">
        <is>
          <t>SAS</t>
        </is>
      </c>
      <c r="E8" s="29">
        <f>SUMIFS(Backlog!$H:$H,Backlog!$F:$F,"SAS",Backlog!$A:$A,"Task")</f>
        <v/>
      </c>
    </row>
    <row r="9">
      <c r="D9" s="29" t="inlineStr">
        <is>
          <t>SAS2</t>
        </is>
      </c>
      <c r="E9" s="29">
        <f>SUMIFS(Backlog!$H:$H,Backlog!$F:$F,"SAS2",Backlog!$A:$A,"Task")</f>
        <v/>
      </c>
    </row>
    <row r="10">
      <c r="D10" s="29" t="inlineStr">
        <is>
          <t>SAS3</t>
        </is>
      </c>
      <c r="E10" s="29">
        <f>SUMIFS(Backlog!$H:$H,Backlog!$F:$F,"SAS3",Backlog!$A:$A,"Task")</f>
        <v/>
      </c>
    </row>
    <row r="11">
      <c r="D11" s="29" t="inlineStr">
        <is>
          <t>DevOps</t>
        </is>
      </c>
      <c r="E11" s="29">
        <f>SUMIFS(Backlog!$H:$H,Backlog!$F:$F,"DevOps",Backlog!$A:$A,"Task")</f>
        <v/>
      </c>
    </row>
    <row r="12">
      <c r="D12" s="29" t="inlineStr">
        <is>
          <t>TL</t>
        </is>
      </c>
      <c r="E12" s="29">
        <f>SUMIFS(Backlog!$H:$H,Backlog!$F:$F,"TL",Backlog!$A:$A,"Task")</f>
        <v/>
      </c>
    </row>
    <row r="13">
      <c r="A13" s="3" t="inlineStr">
        <is>
          <t>Tasks + Effort by Epic</t>
        </is>
      </c>
    </row>
    <row r="14">
      <c r="A14" s="4" t="inlineStr">
        <is>
          <t>Epic</t>
        </is>
      </c>
      <c r="B14" s="4" t="inlineStr">
        <is>
          <t>Title</t>
        </is>
      </c>
      <c r="C14" s="4" t="inlineStr">
        <is>
          <t>Tasks</t>
        </is>
      </c>
      <c r="D14" s="4" t="inlineStr">
        <is>
          <t>Effort (d)</t>
        </is>
      </c>
      <c r="E14" s="4" t="inlineStr">
        <is>
          <t>Done</t>
        </is>
      </c>
    </row>
    <row r="15">
      <c r="A15" s="16" t="inlineStr">
        <is>
          <t>E01</t>
        </is>
      </c>
      <c r="B15" s="29" t="inlineStr">
        <is>
          <t>Team Onboarding &amp; Governance</t>
        </is>
      </c>
      <c r="C15" s="30">
        <f>COUNTIFS(Backlog!$D:$D,"E01",Backlog!$A:$A,"Task")</f>
        <v/>
      </c>
      <c r="D15" s="30">
        <f>SUMIFS(Backlog!$H:$H,Backlog!$D:$D,"E01",Backlog!$A:$A,"Task")</f>
        <v/>
      </c>
      <c r="E15" s="30">
        <f>COUNTIFS(Backlog!$D:$D,"E01",Backlog!$A:$A,"Task",Backlog!$M:$M,"Done")</f>
        <v/>
      </c>
    </row>
    <row r="16">
      <c r="A16" s="16" t="inlineStr">
        <is>
          <t>E02</t>
        </is>
      </c>
      <c r="B16" s="29" t="inlineStr">
        <is>
          <t>CI/CD on Existing Jenkins</t>
        </is>
      </c>
      <c r="C16" s="30">
        <f>COUNTIFS(Backlog!$D:$D,"E02",Backlog!$A:$A,"Task")</f>
        <v/>
      </c>
      <c r="D16" s="30">
        <f>SUMIFS(Backlog!$H:$H,Backlog!$D:$D,"E02",Backlog!$A:$A,"Task")</f>
        <v/>
      </c>
      <c r="E16" s="30">
        <f>COUNTIFS(Backlog!$D:$D,"E02",Backlog!$A:$A,"Task",Backlog!$M:$M,"Done")</f>
        <v/>
      </c>
    </row>
    <row r="17">
      <c r="A17" s="16" t="inlineStr">
        <is>
          <t>E03</t>
        </is>
      </c>
      <c r="B17" s="29" t="inlineStr">
        <is>
          <t>AWS Foundation (Real Accounts)</t>
        </is>
      </c>
      <c r="C17" s="30">
        <f>COUNTIFS(Backlog!$D:$D,"E03",Backlog!$A:$A,"Task")</f>
        <v/>
      </c>
      <c r="D17" s="30">
        <f>SUMIFS(Backlog!$H:$H,Backlog!$D:$D,"E03",Backlog!$A:$A,"Task")</f>
        <v/>
      </c>
      <c r="E17" s="30">
        <f>COUNTIFS(Backlog!$D:$D,"E03",Backlog!$A:$A,"Task",Backlog!$M:$M,"Done")</f>
        <v/>
      </c>
    </row>
    <row r="18">
      <c r="A18" s="16" t="inlineStr">
        <is>
          <t>E04</t>
        </is>
      </c>
      <c r="B18" s="29" t="inlineStr">
        <is>
          <t>Data Engineering &amp; Quality</t>
        </is>
      </c>
      <c r="C18" s="30">
        <f>COUNTIFS(Backlog!$D:$D,"E04",Backlog!$A:$A,"Task")</f>
        <v/>
      </c>
      <c r="D18" s="30">
        <f>SUMIFS(Backlog!$H:$H,Backlog!$D:$D,"E04",Backlog!$A:$A,"Task")</f>
        <v/>
      </c>
      <c r="E18" s="30">
        <f>COUNTIFS(Backlog!$D:$D,"E04",Backlog!$A:$A,"Task",Backlog!$M:$M,"Done")</f>
        <v/>
      </c>
    </row>
    <row r="19">
      <c r="A19" s="16" t="inlineStr">
        <is>
          <t>E05</t>
        </is>
      </c>
      <c r="B19" s="29" t="inlineStr">
        <is>
          <t>SAS Model Engineering - Standards &amp; Tooling</t>
        </is>
      </c>
      <c r="C19" s="30">
        <f>COUNTIFS(Backlog!$D:$D,"E05",Backlog!$A:$A,"Task")</f>
        <v/>
      </c>
      <c r="D19" s="30">
        <f>SUMIFS(Backlog!$H:$H,Backlog!$D:$D,"E05",Backlog!$A:$A,"Task")</f>
        <v/>
      </c>
      <c r="E19" s="30">
        <f>COUNTIFS(Backlog!$D:$D,"E05",Backlog!$A:$A,"Task",Backlog!$M:$M,"Done")</f>
        <v/>
      </c>
    </row>
    <row r="20">
      <c r="A20" s="16" t="inlineStr">
        <is>
          <t>E06</t>
        </is>
      </c>
      <c r="B20" s="29" t="inlineStr">
        <is>
          <t>ML Compute &amp; Pipeline Execution</t>
        </is>
      </c>
      <c r="C20" s="30">
        <f>COUNTIFS(Backlog!$D:$D,"E06",Backlog!$A:$A,"Task")</f>
        <v/>
      </c>
      <c r="D20" s="30">
        <f>SUMIFS(Backlog!$H:$H,Backlog!$D:$D,"E06",Backlog!$A:$A,"Task")</f>
        <v/>
      </c>
      <c r="E20" s="30">
        <f>COUNTIFS(Backlog!$D:$D,"E06",Backlog!$A:$A,"Task",Backlog!$M:$M,"Done")</f>
        <v/>
      </c>
    </row>
    <row r="21">
      <c r="A21" s="16" t="inlineStr">
        <is>
          <t>E07</t>
        </is>
      </c>
      <c r="B21" s="29" t="inlineStr">
        <is>
          <t>Security, Controls &amp; Compliance</t>
        </is>
      </c>
      <c r="C21" s="30">
        <f>COUNTIFS(Backlog!$D:$D,"E07",Backlog!$A:$A,"Task")</f>
        <v/>
      </c>
      <c r="D21" s="30">
        <f>SUMIFS(Backlog!$H:$H,Backlog!$D:$D,"E07",Backlog!$A:$A,"Task")</f>
        <v/>
      </c>
      <c r="E21" s="30">
        <f>COUNTIFS(Backlog!$D:$D,"E07",Backlog!$A:$A,"Task",Backlog!$M:$M,"Done")</f>
        <v/>
      </c>
    </row>
    <row r="22">
      <c r="A22" s="16" t="inlineStr">
        <is>
          <t>E08</t>
        </is>
      </c>
      <c r="B22" s="29" t="inlineStr">
        <is>
          <t>Group 1 - Model Onboarding (Models 1-2)</t>
        </is>
      </c>
      <c r="C22" s="30">
        <f>COUNTIFS(Backlog!$D:$D,"E08",Backlog!$A:$A,"Task")</f>
        <v/>
      </c>
      <c r="D22" s="30">
        <f>SUMIFS(Backlog!$H:$H,Backlog!$D:$D,"E08",Backlog!$A:$A,"Task")</f>
        <v/>
      </c>
      <c r="E22" s="30">
        <f>COUNTIFS(Backlog!$D:$D,"E08",Backlog!$A:$A,"Task",Backlog!$M:$M,"Done")</f>
        <v/>
      </c>
    </row>
    <row r="23">
      <c r="A23" s="16" t="inlineStr">
        <is>
          <t>E09</t>
        </is>
      </c>
      <c r="B23" s="29" t="inlineStr">
        <is>
          <t>Observability, Dashboards &amp; Delivery</t>
        </is>
      </c>
      <c r="C23" s="30">
        <f>COUNTIFS(Backlog!$D:$D,"E09",Backlog!$A:$A,"Task")</f>
        <v/>
      </c>
      <c r="D23" s="30">
        <f>SUMIFS(Backlog!$H:$H,Backlog!$D:$D,"E09",Backlog!$A:$A,"Task")</f>
        <v/>
      </c>
      <c r="E23" s="30">
        <f>COUNTIFS(Backlog!$D:$D,"E09",Backlog!$A:$A,"Task",Backlog!$M:$M,"Done")</f>
        <v/>
      </c>
    </row>
    <row r="24">
      <c r="A24" s="16" t="inlineStr">
        <is>
          <t>E10</t>
        </is>
      </c>
      <c r="B24" s="29" t="inlineStr">
        <is>
          <t>Group 2 - Scale-Out (Models 3-10)</t>
        </is>
      </c>
      <c r="C24" s="30">
        <f>COUNTIFS(Backlog!$D:$D,"E10",Backlog!$A:$A,"Task")</f>
        <v/>
      </c>
      <c r="D24" s="30">
        <f>SUMIFS(Backlog!$H:$H,Backlog!$D:$D,"E10",Backlog!$A:$A,"Task")</f>
        <v/>
      </c>
      <c r="E24" s="30">
        <f>COUNTIFS(Backlog!$D:$D,"E10",Backlog!$A:$A,"Task",Backlog!$M:$M,"Done")</f>
        <v/>
      </c>
    </row>
    <row r="25">
      <c r="A25" s="16" t="inlineStr">
        <is>
          <t>E11</t>
        </is>
      </c>
      <c r="B25" s="29" t="inlineStr">
        <is>
          <t>Steady State, Hypercare &amp; Handover</t>
        </is>
      </c>
      <c r="C25" s="30">
        <f>COUNTIFS(Backlog!$D:$D,"E11",Backlog!$A:$A,"Task")</f>
        <v/>
      </c>
      <c r="D25" s="30">
        <f>SUMIFS(Backlog!$H:$H,Backlog!$D:$D,"E11",Backlog!$A:$A,"Task")</f>
        <v/>
      </c>
      <c r="E25" s="30">
        <f>COUNTIFS(Backlog!$D:$D,"E11",Backlog!$A:$A,"Task",Backlog!$M:$M,"Done")</f>
        <v/>
      </c>
    </row>
    <row r="26">
      <c r="A26" s="16" t="inlineStr">
        <is>
          <t>E12</t>
        </is>
      </c>
      <c r="B26" s="29" t="inlineStr">
        <is>
          <t>Testing, UAT &amp; Performance</t>
        </is>
      </c>
      <c r="C26" s="30">
        <f>COUNTIFS(Backlog!$D:$D,"E12",Backlog!$A:$A,"Task")</f>
        <v/>
      </c>
      <c r="D26" s="30">
        <f>SUMIFS(Backlog!$H:$H,Backlog!$D:$D,"E12",Backlog!$A:$A,"Task")</f>
        <v/>
      </c>
      <c r="E26" s="30">
        <f>COUNTIFS(Backlog!$D:$D,"E12",Backlog!$A:$A,"Task",Backlog!$M:$M,"Done")</f>
        <v/>
      </c>
    </row>
    <row r="27">
      <c r="A27" s="16" t="inlineStr">
        <is>
          <t>E13</t>
        </is>
      </c>
      <c r="B27" s="29" t="inlineStr">
        <is>
          <t>Capacity &amp; Resourcing</t>
        </is>
      </c>
      <c r="C27" s="30">
        <f>COUNTIFS(Backlog!$D:$D,"E13",Backlog!$A:$A,"Task")</f>
        <v/>
      </c>
      <c r="D27" s="30">
        <f>SUMIFS(Backlog!$H:$H,Backlog!$D:$D,"E13",Backlog!$A:$A,"Task")</f>
        <v/>
      </c>
      <c r="E27" s="30">
        <f>COUNTIFS(Backlog!$D:$D,"E13",Backlog!$A:$A,"Task",Backlog!$M:$M,"Done")</f>
        <v/>
      </c>
    </row>
    <row r="28">
      <c r="A28" s="16" t="inlineStr">
        <is>
          <t>E14</t>
        </is>
      </c>
      <c r="B28" s="29" t="inlineStr">
        <is>
          <t>Model Implementation Documentation (IDG)</t>
        </is>
      </c>
      <c r="C28" s="30">
        <f>COUNTIFS(Backlog!$D:$D,"E14",Backlog!$A:$A,"Task")</f>
        <v/>
      </c>
      <c r="D28" s="30">
        <f>SUMIFS(Backlog!$H:$H,Backlog!$D:$D,"E14",Backlog!$A:$A,"Task")</f>
        <v/>
      </c>
      <c r="E28" s="30">
        <f>COUNTIFS(Backlog!$D:$D,"E14",Backlog!$A:$A,"Task",Backlog!$M:$M,"Done")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2026-06-16T06:30:18Z</dcterms:created>
  <dcterms:modified xsi:type="dcterms:W3CDTF">2026-06-16T06:30:18Z</dcterms:modified>
</cp:coreProperties>
</file>