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acklog" sheetId="2" state="visible" r:id="rId2"/>
    <sheet name="Sprint Plan" sheetId="3" state="visible" r:id="rId3"/>
    <sheet name="Role Load" sheetId="4" state="visible" r:id="rId4"/>
    <sheet name="Prerequisites" sheetId="5" state="visible" r:id="rId5"/>
    <sheet name="Dashboard" sheetId="6" state="visible" r:id="rId6"/>
  </sheets>
  <definedNames>
    <definedName name="_xlnm._FilterDatabase" localSheetId="1" hidden="1">'Backlog'!$A$3:$L$199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4172"/>
      </patternFill>
    </fill>
    <fill>
      <patternFill patternType="solid">
        <fgColor rgb="00D9E2F3"/>
      </patternFill>
    </fill>
    <fill>
      <patternFill patternType="solid">
        <fgColor rgb="00FFCDD2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164" fontId="0" fillId="6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2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DD2"/>
        </patternFill>
      </fill>
    </dxf>
    <dxf>
      <fill>
        <patternFill patternType="solid">
          <f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ABSA x EXL — Agile Sprint Plan</t>
        </is>
      </c>
    </row>
    <row r="2">
      <c r="A2" s="2" t="inlineStr"/>
    </row>
    <row r="3">
      <c r="A3" s="2" t="inlineStr">
        <is>
          <t>Anchoring: Sprint 1 starts Monday 2026-06-15. 12 sprints x 2 weeks ~ 6 months.</t>
        </is>
      </c>
    </row>
    <row r="4">
      <c r="A4" s="2" t="inlineStr">
        <is>
          <t>Group 1 ABSA sign-off targeted end of Sprint 8 (2026-10-02). Steady-state go-live ~2026-12-01.</t>
        </is>
      </c>
    </row>
    <row r="5">
      <c r="A5" s="2" t="inlineStr"/>
    </row>
    <row r="6">
      <c r="A6" s="2" t="inlineStr">
        <is>
          <t>Team &amp; capacity (effort-days per 2-week sprint, 10 working days x 0.8 focus factor):</t>
        </is>
      </c>
    </row>
    <row r="7">
      <c r="A7" s="2" t="inlineStr">
        <is>
          <t xml:space="preserve">  AWS    — AWS / MLOps Engineer       — 8.0 d/sprint</t>
        </is>
      </c>
    </row>
    <row r="8">
      <c r="A8" s="2" t="inlineStr">
        <is>
          <t xml:space="preserve">  DE     — Data Engineer              — 8.0 d/sprint</t>
        </is>
      </c>
    </row>
    <row r="9">
      <c r="A9" s="2" t="inlineStr">
        <is>
          <t xml:space="preserve">  SAS    — SAS Developer              — 8.0 d/sprint</t>
        </is>
      </c>
    </row>
    <row r="10">
      <c r="A10" s="2" t="inlineStr">
        <is>
          <t xml:space="preserve">  DevOps — DevOps Engineer            — 8.0 d/sprint</t>
        </is>
      </c>
    </row>
    <row r="11">
      <c r="A11" s="2" t="inlineStr">
        <is>
          <t xml:space="preserve">  TL     — Tech Lead (Vishnu)         — 6.0 d/sprint (splits with program management)</t>
        </is>
      </c>
    </row>
    <row r="12">
      <c r="A12" s="2" t="inlineStr"/>
    </row>
    <row r="13">
      <c r="A13" s="2" t="inlineStr">
        <is>
          <t>How to use:</t>
        </is>
      </c>
    </row>
    <row r="14">
      <c r="A14" s="2" t="inlineStr">
        <is>
          <t xml:space="preserve">  1. 'Backlog' is the source of truth: EPIC -&gt; Story -&gt; Task with role, sprint, estimate.</t>
        </is>
      </c>
    </row>
    <row r="15">
      <c r="A15" s="2" t="inlineStr">
        <is>
          <t xml:space="preserve">     Import into Jira (CSV) or mirror manually; IDs are stable.</t>
        </is>
      </c>
    </row>
    <row r="16">
      <c r="A16" s="2" t="inlineStr">
        <is>
          <t xml:space="preserve">  2. 'Sprint Plan' shows goal + milestone per sprint and per-role load (formula-driven).</t>
        </is>
      </c>
    </row>
    <row r="17">
      <c r="A17" s="2" t="inlineStr">
        <is>
          <t xml:space="preserve">  3. 'Role Load' is the capacity heat grid — red means overloaded, fix before planning.</t>
        </is>
      </c>
    </row>
    <row r="18">
      <c r="A18" s="2" t="inlineStr">
        <is>
          <t xml:space="preserve">  4. 'Prerequisites' lists internal setup + the 8 ABSA dependencies with impact points.</t>
        </is>
      </c>
    </row>
    <row r="19">
      <c r="A19" s="2" t="inlineStr">
        <is>
          <t xml:space="preserve">  5. Update Status on Backlog as work moves; Dashboard recalculates.</t>
        </is>
      </c>
    </row>
    <row r="20">
      <c r="A20" s="2" t="inlineStr"/>
    </row>
    <row r="21">
      <c r="A21" s="2" t="inlineStr">
        <is>
          <t>Context: the platform itself (registry, pipeline-factory, signer, code-intake, LocalStack demo)</t>
        </is>
      </c>
    </row>
    <row r="22">
      <c r="A22" s="2" t="inlineStr">
        <is>
          <t>is already built and CI-regression-tested — see docs/phase-3-closeout.md. This plan covers</t>
        </is>
      </c>
    </row>
    <row r="23">
      <c r="A23" s="2" t="inlineStr">
        <is>
          <t>real-AWS deployment, Jenkins CI migration, model onboarding (10 models), and go-live.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9" customWidth="1" min="3" max="3"/>
    <col width="6" customWidth="1" min="4" max="4"/>
    <col width="62" customWidth="1" min="5" max="5"/>
    <col width="8" customWidth="1" min="6" max="6"/>
    <col width="8" customWidth="1" min="7" max="7"/>
    <col width="8" customWidth="1" min="8" max="8"/>
    <col width="16" customWidth="1" min="9" max="9"/>
    <col width="20" customWidth="1" min="10" max="10"/>
    <col width="10" customWidth="1" min="11" max="11"/>
    <col width="48" customWidth="1" min="12" max="12"/>
  </cols>
  <sheetData>
    <row r="1">
      <c r="A1" s="1" t="inlineStr">
        <is>
          <t>Backlog — EPIC / Story / Task</t>
        </is>
      </c>
    </row>
    <row r="3">
      <c r="A3" s="3" t="inlineStr">
        <is>
          <t>Type</t>
        </is>
      </c>
      <c r="B3" s="3" t="inlineStr">
        <is>
          <t>ID</t>
        </is>
      </c>
      <c r="C3" s="3" t="inlineStr">
        <is>
          <t>Parent</t>
        </is>
      </c>
      <c r="D3" s="3" t="inlineStr">
        <is>
          <t>Epic</t>
        </is>
      </c>
      <c r="E3" s="3" t="inlineStr">
        <is>
          <t>Title</t>
        </is>
      </c>
      <c r="F3" s="3" t="inlineStr">
        <is>
          <t>Role</t>
        </is>
      </c>
      <c r="G3" s="3" t="inlineStr">
        <is>
          <t>Sprint</t>
        </is>
      </c>
      <c r="H3" s="3" t="inlineStr">
        <is>
          <t>Est (d)</t>
        </is>
      </c>
      <c r="I3" s="3" t="inlineStr">
        <is>
          <t>Depends On</t>
        </is>
      </c>
      <c r="J3" s="3" t="inlineStr">
        <is>
          <t>Blocked On (ABSA)</t>
        </is>
      </c>
      <c r="K3" s="3" t="inlineStr">
        <is>
          <t>Status</t>
        </is>
      </c>
      <c r="L3" s="3" t="inlineStr">
        <is>
          <t>Acceptance / Notes</t>
        </is>
      </c>
    </row>
    <row r="4">
      <c r="A4" s="4" t="inlineStr">
        <is>
          <t>EPIC</t>
        </is>
      </c>
      <c r="B4" s="4" t="inlineStr">
        <is>
          <t>E01</t>
        </is>
      </c>
      <c r="C4" s="4" t="inlineStr"/>
      <c r="D4" s="4" t="inlineStr">
        <is>
          <t>E01</t>
        </is>
      </c>
      <c r="E4" s="4" t="inlineStr">
        <is>
          <t>Team Onboarding &amp; Governance — Everyone productive in week 1: repo green locally, board live, ABSA dependency register running.</t>
        </is>
      </c>
      <c r="F4" s="4" t="inlineStr">
        <is>
          <t>TL</t>
        </is>
      </c>
      <c r="G4" s="4" t="inlineStr">
        <is>
          <t>S1</t>
        </is>
      </c>
      <c r="H4" s="4" t="inlineStr"/>
      <c r="I4" s="4" t="inlineStr"/>
      <c r="J4" s="4" t="inlineStr"/>
      <c r="K4" s="4" t="inlineStr"/>
      <c r="L4" s="4" t="inlineStr"/>
    </row>
    <row r="5">
      <c r="A5" s="5" t="inlineStr">
        <is>
          <t>Story</t>
        </is>
      </c>
      <c r="B5" s="5" t="inlineStr">
        <is>
          <t>ST-0101</t>
        </is>
      </c>
      <c r="C5" s="5" t="inlineStr">
        <is>
          <t>E01</t>
        </is>
      </c>
      <c r="D5" s="5" t="inlineStr">
        <is>
          <t>E01</t>
        </is>
      </c>
      <c r="E5" s="5" t="inlineStr">
        <is>
          <t>Environment &amp; platform onboarding</t>
        </is>
      </c>
      <c r="F5" s="5" t="inlineStr"/>
      <c r="G5" s="5" t="inlineStr">
        <is>
          <t>S1</t>
        </is>
      </c>
      <c r="H5" s="5" t="inlineStr"/>
      <c r="I5" s="5" t="inlineStr"/>
      <c r="J5" s="5" t="inlineStr"/>
      <c r="K5" s="5" t="inlineStr"/>
      <c r="L5" s="5" t="inlineStr">
        <is>
          <t>All 4 engineers: 278-test suite green + `make demo` exit 0 locally; walkthrough attended.</t>
        </is>
      </c>
    </row>
    <row r="6">
      <c r="A6" s="6" t="inlineStr">
        <is>
          <t>Task</t>
        </is>
      </c>
      <c r="B6" s="6" t="inlineStr">
        <is>
          <t>T-0101</t>
        </is>
      </c>
      <c r="C6" s="6" t="inlineStr">
        <is>
          <t>ST-0101</t>
        </is>
      </c>
      <c r="D6" s="6" t="inlineStr">
        <is>
          <t>E01</t>
        </is>
      </c>
      <c r="E6" s="6" t="inlineStr">
        <is>
          <t>Clone repo, uv sync, run full 278-test suite locally</t>
        </is>
      </c>
      <c r="F6" s="6" t="inlineStr">
        <is>
          <t>AWS</t>
        </is>
      </c>
      <c r="G6" s="6" t="inlineStr">
        <is>
          <t>S1</t>
        </is>
      </c>
      <c r="H6" s="6" t="n">
        <v>0.5</v>
      </c>
      <c r="I6" s="6" t="inlineStr"/>
      <c r="J6" s="6" t="inlineStr"/>
      <c r="K6" s="6" t="inlineStr">
        <is>
          <t>Planned</t>
        </is>
      </c>
      <c r="L6" s="6" t="inlineStr"/>
    </row>
    <row r="7">
      <c r="A7" s="6" t="inlineStr">
        <is>
          <t>Task</t>
        </is>
      </c>
      <c r="B7" s="6" t="inlineStr">
        <is>
          <t>T-0102</t>
        </is>
      </c>
      <c r="C7" s="6" t="inlineStr">
        <is>
          <t>ST-0101</t>
        </is>
      </c>
      <c r="D7" s="6" t="inlineStr">
        <is>
          <t>E01</t>
        </is>
      </c>
      <c r="E7" s="6" t="inlineStr">
        <is>
          <t>Clone repo, uv sync, run full 278-test suite locally</t>
        </is>
      </c>
      <c r="F7" s="6" t="inlineStr">
        <is>
          <t>DE</t>
        </is>
      </c>
      <c r="G7" s="6" t="inlineStr">
        <is>
          <t>S1</t>
        </is>
      </c>
      <c r="H7" s="6" t="n">
        <v>0.5</v>
      </c>
      <c r="I7" s="6" t="inlineStr"/>
      <c r="J7" s="6" t="inlineStr"/>
      <c r="K7" s="6" t="inlineStr">
        <is>
          <t>Planned</t>
        </is>
      </c>
      <c r="L7" s="6" t="inlineStr"/>
    </row>
    <row r="8">
      <c r="A8" s="6" t="inlineStr">
        <is>
          <t>Task</t>
        </is>
      </c>
      <c r="B8" s="6" t="inlineStr">
        <is>
          <t>T-0103</t>
        </is>
      </c>
      <c r="C8" s="6" t="inlineStr">
        <is>
          <t>ST-0101</t>
        </is>
      </c>
      <c r="D8" s="6" t="inlineStr">
        <is>
          <t>E01</t>
        </is>
      </c>
      <c r="E8" s="6" t="inlineStr">
        <is>
          <t>Clone repo, uv sync, run full 278-test suite locally</t>
        </is>
      </c>
      <c r="F8" s="6" t="inlineStr">
        <is>
          <t>SAS</t>
        </is>
      </c>
      <c r="G8" s="6" t="inlineStr">
        <is>
          <t>S1</t>
        </is>
      </c>
      <c r="H8" s="6" t="n">
        <v>0.5</v>
      </c>
      <c r="I8" s="6" t="inlineStr"/>
      <c r="J8" s="6" t="inlineStr"/>
      <c r="K8" s="6" t="inlineStr">
        <is>
          <t>Planned</t>
        </is>
      </c>
      <c r="L8" s="6" t="inlineStr"/>
    </row>
    <row r="9">
      <c r="A9" s="6" t="inlineStr">
        <is>
          <t>Task</t>
        </is>
      </c>
      <c r="B9" s="6" t="inlineStr">
        <is>
          <t>T-0104</t>
        </is>
      </c>
      <c r="C9" s="6" t="inlineStr">
        <is>
          <t>ST-0101</t>
        </is>
      </c>
      <c r="D9" s="6" t="inlineStr">
        <is>
          <t>E01</t>
        </is>
      </c>
      <c r="E9" s="6" t="inlineStr">
        <is>
          <t>Clone repo, uv sync, run full 278-test suite locally</t>
        </is>
      </c>
      <c r="F9" s="6" t="inlineStr">
        <is>
          <t>DevOps</t>
        </is>
      </c>
      <c r="G9" s="6" t="inlineStr">
        <is>
          <t>S1</t>
        </is>
      </c>
      <c r="H9" s="6" t="n">
        <v>0.5</v>
      </c>
      <c r="I9" s="6" t="inlineStr"/>
      <c r="J9" s="6" t="inlineStr"/>
      <c r="K9" s="6" t="inlineStr">
        <is>
          <t>Planned</t>
        </is>
      </c>
      <c r="L9" s="6" t="inlineStr"/>
    </row>
    <row r="10">
      <c r="A10" s="6" t="inlineStr">
        <is>
          <t>Task</t>
        </is>
      </c>
      <c r="B10" s="6" t="inlineStr">
        <is>
          <t>T-0105</t>
        </is>
      </c>
      <c r="C10" s="6" t="inlineStr">
        <is>
          <t>ST-0101</t>
        </is>
      </c>
      <c r="D10" s="6" t="inlineStr">
        <is>
          <t>E01</t>
        </is>
      </c>
      <c r="E10" s="6" t="inlineStr">
        <is>
          <t>Run `make demo` (LocalStack chain) green locally</t>
        </is>
      </c>
      <c r="F10" s="6" t="inlineStr">
        <is>
          <t>AWS</t>
        </is>
      </c>
      <c r="G10" s="6" t="inlineStr">
        <is>
          <t>S1</t>
        </is>
      </c>
      <c r="H10" s="6" t="n">
        <v>0.5</v>
      </c>
      <c r="I10" s="6" t="inlineStr">
        <is>
          <t>T-0101</t>
        </is>
      </c>
      <c r="J10" s="6" t="inlineStr"/>
      <c r="K10" s="6" t="inlineStr">
        <is>
          <t>Planned</t>
        </is>
      </c>
      <c r="L10" s="6" t="inlineStr"/>
    </row>
    <row r="11">
      <c r="A11" s="6" t="inlineStr">
        <is>
          <t>Task</t>
        </is>
      </c>
      <c r="B11" s="6" t="inlineStr">
        <is>
          <t>T-0106</t>
        </is>
      </c>
      <c r="C11" s="6" t="inlineStr">
        <is>
          <t>ST-0101</t>
        </is>
      </c>
      <c r="D11" s="6" t="inlineStr">
        <is>
          <t>E01</t>
        </is>
      </c>
      <c r="E11" s="6" t="inlineStr">
        <is>
          <t>Run `make demo` (LocalStack chain) green locally</t>
        </is>
      </c>
      <c r="F11" s="6" t="inlineStr">
        <is>
          <t>DE</t>
        </is>
      </c>
      <c r="G11" s="6" t="inlineStr">
        <is>
          <t>S1</t>
        </is>
      </c>
      <c r="H11" s="6" t="n">
        <v>0.5</v>
      </c>
      <c r="I11" s="6" t="inlineStr">
        <is>
          <t>T-0102</t>
        </is>
      </c>
      <c r="J11" s="6" t="inlineStr"/>
      <c r="K11" s="6" t="inlineStr">
        <is>
          <t>Planned</t>
        </is>
      </c>
      <c r="L11" s="6" t="inlineStr"/>
    </row>
    <row r="12">
      <c r="A12" s="6" t="inlineStr">
        <is>
          <t>Task</t>
        </is>
      </c>
      <c r="B12" s="6" t="inlineStr">
        <is>
          <t>T-0107</t>
        </is>
      </c>
      <c r="C12" s="6" t="inlineStr">
        <is>
          <t>ST-0101</t>
        </is>
      </c>
      <c r="D12" s="6" t="inlineStr">
        <is>
          <t>E01</t>
        </is>
      </c>
      <c r="E12" s="6" t="inlineStr">
        <is>
          <t>Run `make demo` (LocalStack chain) green locally</t>
        </is>
      </c>
      <c r="F12" s="6" t="inlineStr">
        <is>
          <t>SAS</t>
        </is>
      </c>
      <c r="G12" s="6" t="inlineStr">
        <is>
          <t>S1</t>
        </is>
      </c>
      <c r="H12" s="6" t="n">
        <v>0.5</v>
      </c>
      <c r="I12" s="6" t="inlineStr">
        <is>
          <t>T-0103</t>
        </is>
      </c>
      <c r="J12" s="6" t="inlineStr"/>
      <c r="K12" s="6" t="inlineStr">
        <is>
          <t>Planned</t>
        </is>
      </c>
      <c r="L12" s="6" t="inlineStr"/>
    </row>
    <row r="13">
      <c r="A13" s="6" t="inlineStr">
        <is>
          <t>Task</t>
        </is>
      </c>
      <c r="B13" s="6" t="inlineStr">
        <is>
          <t>T-0108</t>
        </is>
      </c>
      <c r="C13" s="6" t="inlineStr">
        <is>
          <t>ST-0101</t>
        </is>
      </c>
      <c r="D13" s="6" t="inlineStr">
        <is>
          <t>E01</t>
        </is>
      </c>
      <c r="E13" s="6" t="inlineStr">
        <is>
          <t>Run `make demo` (LocalStack chain) green locally</t>
        </is>
      </c>
      <c r="F13" s="6" t="inlineStr">
        <is>
          <t>DevOps</t>
        </is>
      </c>
      <c r="G13" s="6" t="inlineStr">
        <is>
          <t>S1</t>
        </is>
      </c>
      <c r="H13" s="6" t="n">
        <v>0.5</v>
      </c>
      <c r="I13" s="6" t="inlineStr">
        <is>
          <t>T-0104</t>
        </is>
      </c>
      <c r="J13" s="6" t="inlineStr"/>
      <c r="K13" s="6" t="inlineStr">
        <is>
          <t>Planned</t>
        </is>
      </c>
      <c r="L13" s="6" t="inlineStr"/>
    </row>
    <row r="14">
      <c r="A14" s="6" t="inlineStr">
        <is>
          <t>Task</t>
        </is>
      </c>
      <c r="B14" s="6" t="inlineStr">
        <is>
          <t>T-0109</t>
        </is>
      </c>
      <c r="C14" s="6" t="inlineStr">
        <is>
          <t>ST-0101</t>
        </is>
      </c>
      <c r="D14" s="6" t="inlineStr">
        <is>
          <t>E01</t>
        </is>
      </c>
      <c r="E14" s="6" t="inlineStr">
        <is>
          <t>Host architecture walkthrough: chain-of-custody, repo tour, ADR index</t>
        </is>
      </c>
      <c r="F14" s="6" t="inlineStr">
        <is>
          <t>TL</t>
        </is>
      </c>
      <c r="G14" s="6" t="inlineStr">
        <is>
          <t>S1</t>
        </is>
      </c>
      <c r="H14" s="6" t="n">
        <v>1</v>
      </c>
      <c r="I14" s="6" t="inlineStr"/>
      <c r="J14" s="6" t="inlineStr"/>
      <c r="K14" s="6" t="inlineStr">
        <is>
          <t>Planned</t>
        </is>
      </c>
      <c r="L14" s="6" t="inlineStr">
        <is>
          <t>Record it for future joiners</t>
        </is>
      </c>
    </row>
    <row r="15">
      <c r="A15" s="5" t="inlineStr">
        <is>
          <t>Story</t>
        </is>
      </c>
      <c r="B15" s="5" t="inlineStr">
        <is>
          <t>ST-0102</t>
        </is>
      </c>
      <c r="C15" s="5" t="inlineStr">
        <is>
          <t>E01</t>
        </is>
      </c>
      <c r="D15" s="5" t="inlineStr">
        <is>
          <t>E01</t>
        </is>
      </c>
      <c r="E15" s="5" t="inlineStr">
        <is>
          <t>Agile working agreement &amp; board</t>
        </is>
      </c>
      <c r="F15" s="5" t="inlineStr"/>
      <c r="G15" s="5" t="inlineStr">
        <is>
          <t>S1</t>
        </is>
      </c>
      <c r="H15" s="5" t="inlineStr"/>
      <c r="I15" s="5" t="inlineStr"/>
      <c r="J15" s="5" t="inlineStr"/>
      <c r="K15" s="5" t="inlineStr"/>
      <c r="L15" s="5" t="inlineStr">
        <is>
          <t>Jira board mirrors this backlog; DoD + ceremony calendar published.</t>
        </is>
      </c>
    </row>
    <row r="16">
      <c r="A16" s="6" t="inlineStr">
        <is>
          <t>Task</t>
        </is>
      </c>
      <c r="B16" s="6" t="inlineStr">
        <is>
          <t>T-0110</t>
        </is>
      </c>
      <c r="C16" s="6" t="inlineStr">
        <is>
          <t>ST-0102</t>
        </is>
      </c>
      <c r="D16" s="6" t="inlineStr">
        <is>
          <t>E01</t>
        </is>
      </c>
      <c r="E16" s="6" t="inlineStr">
        <is>
          <t>Stand up Jira/ADO board; import this EPIC/Story/Task tree</t>
        </is>
      </c>
      <c r="F16" s="6" t="inlineStr">
        <is>
          <t>TL</t>
        </is>
      </c>
      <c r="G16" s="6" t="inlineStr">
        <is>
          <t>S1</t>
        </is>
      </c>
      <c r="H16" s="6" t="n">
        <v>1</v>
      </c>
      <c r="I16" s="6" t="inlineStr"/>
      <c r="J16" s="6" t="inlineStr"/>
      <c r="K16" s="6" t="inlineStr">
        <is>
          <t>Planned</t>
        </is>
      </c>
      <c r="L16" s="6" t="inlineStr">
        <is>
          <t>Backlog sheet is the import source</t>
        </is>
      </c>
    </row>
    <row r="17">
      <c r="A17" s="6" t="inlineStr">
        <is>
          <t>Task</t>
        </is>
      </c>
      <c r="B17" s="6" t="inlineStr">
        <is>
          <t>T-0111</t>
        </is>
      </c>
      <c r="C17" s="6" t="inlineStr">
        <is>
          <t>ST-0102</t>
        </is>
      </c>
      <c r="D17" s="6" t="inlineStr">
        <is>
          <t>E01</t>
        </is>
      </c>
      <c r="E17" s="6" t="inlineStr">
        <is>
          <t>Publish Definition of Done + PR / branch-protection workflow</t>
        </is>
      </c>
      <c r="F17" s="6" t="inlineStr">
        <is>
          <t>TL</t>
        </is>
      </c>
      <c r="G17" s="6" t="inlineStr">
        <is>
          <t>S1</t>
        </is>
      </c>
      <c r="H17" s="6" t="n">
        <v>0.5</v>
      </c>
      <c r="I17" s="6" t="inlineStr"/>
      <c r="J17" s="6" t="inlineStr"/>
      <c r="K17" s="6" t="inlineStr">
        <is>
          <t>Planned</t>
        </is>
      </c>
      <c r="L17" s="6" t="inlineStr"/>
    </row>
    <row r="18">
      <c r="A18" s="6" t="inlineStr">
        <is>
          <t>Task</t>
        </is>
      </c>
      <c r="B18" s="6" t="inlineStr">
        <is>
          <t>T-0112</t>
        </is>
      </c>
      <c r="C18" s="6" t="inlineStr">
        <is>
          <t>ST-0102</t>
        </is>
      </c>
      <c r="D18" s="6" t="inlineStr">
        <is>
          <t>E01</t>
        </is>
      </c>
      <c r="E18" s="6" t="inlineStr">
        <is>
          <t>Ceremony calendar: daily standup, planning, review+demo, retro</t>
        </is>
      </c>
      <c r="F18" s="6" t="inlineStr">
        <is>
          <t>TL</t>
        </is>
      </c>
      <c r="G18" s="6" t="inlineStr">
        <is>
          <t>S1</t>
        </is>
      </c>
      <c r="H18" s="6" t="n">
        <v>0.5</v>
      </c>
      <c r="I18" s="6" t="inlineStr"/>
      <c r="J18" s="6" t="inlineStr"/>
      <c r="K18" s="6" t="inlineStr">
        <is>
          <t>Planned</t>
        </is>
      </c>
      <c r="L18" s="6" t="inlineStr"/>
    </row>
    <row r="19">
      <c r="A19" s="5" t="inlineStr">
        <is>
          <t>Story</t>
        </is>
      </c>
      <c r="B19" s="5" t="inlineStr">
        <is>
          <t>ST-0103</t>
        </is>
      </c>
      <c r="C19" s="5" t="inlineStr">
        <is>
          <t>E01</t>
        </is>
      </c>
      <c r="D19" s="5" t="inlineStr">
        <is>
          <t>E01</t>
        </is>
      </c>
      <c r="E19" s="5" t="inlineStr">
        <is>
          <t>ABSA dependency management</t>
        </is>
      </c>
      <c r="F19" s="5" t="inlineStr"/>
      <c r="G19" s="5" t="inlineStr">
        <is>
          <t>S1</t>
        </is>
      </c>
      <c r="H19" s="5" t="inlineStr"/>
      <c r="I19" s="5" t="inlineStr"/>
      <c r="J19" s="5" t="inlineStr"/>
      <c r="K19" s="5" t="inlineStr"/>
      <c r="L19" s="5" t="inlineStr">
        <is>
          <t>7-item ask-list sent; weekly chase cadence running with named SPOC.</t>
        </is>
      </c>
    </row>
    <row r="20">
      <c r="A20" s="6" t="inlineStr">
        <is>
          <t>Task</t>
        </is>
      </c>
      <c r="B20" s="6" t="inlineStr">
        <is>
          <t>T-0113</t>
        </is>
      </c>
      <c r="C20" s="6" t="inlineStr">
        <is>
          <t>ST-0103</t>
        </is>
      </c>
      <c r="D20" s="6" t="inlineStr">
        <is>
          <t>E01</t>
        </is>
      </c>
      <c r="E20" s="6" t="inlineStr">
        <is>
          <t>Send 7-item dependency ask-list to ABSA SPOC</t>
        </is>
      </c>
      <c r="F20" s="6" t="inlineStr">
        <is>
          <t>TL</t>
        </is>
      </c>
      <c r="G20" s="6" t="inlineStr">
        <is>
          <t>S1</t>
        </is>
      </c>
      <c r="H20" s="6" t="n">
        <v>0.5</v>
      </c>
      <c r="I20" s="6" t="inlineStr"/>
      <c r="J20" s="6" t="inlineStr"/>
      <c r="K20" s="6" t="inlineStr">
        <is>
          <t>Planned</t>
        </is>
      </c>
      <c r="L20" s="6" t="inlineStr">
        <is>
          <t>Account IDs, IAM ARNs, SAS runtime, PIR API, data movement, CAB/IVU, network</t>
        </is>
      </c>
    </row>
    <row r="21">
      <c r="A21" s="6" t="inlineStr">
        <is>
          <t>Task</t>
        </is>
      </c>
      <c r="B21" s="6" t="inlineStr">
        <is>
          <t>T-0114</t>
        </is>
      </c>
      <c r="C21" s="6" t="inlineStr">
        <is>
          <t>ST-0103</t>
        </is>
      </c>
      <c r="D21" s="6" t="inlineStr">
        <is>
          <t>E01</t>
        </is>
      </c>
      <c r="E21" s="6" t="inlineStr">
        <is>
          <t>Stand up weekly dependency-chase cadence + escalation path</t>
        </is>
      </c>
      <c r="F21" s="6" t="inlineStr">
        <is>
          <t>TL</t>
        </is>
      </c>
      <c r="G21" s="6" t="inlineStr">
        <is>
          <t>S1</t>
        </is>
      </c>
      <c r="H21" s="6" t="n">
        <v>0.5</v>
      </c>
      <c r="I21" s="6" t="inlineStr">
        <is>
          <t>T-0113</t>
        </is>
      </c>
      <c r="J21" s="6" t="inlineStr"/>
      <c r="K21" s="6" t="inlineStr">
        <is>
          <t>Planned</t>
        </is>
      </c>
      <c r="L21" s="6" t="inlineStr"/>
    </row>
    <row r="22">
      <c r="A22" s="4" t="inlineStr">
        <is>
          <t>EPIC</t>
        </is>
      </c>
      <c r="B22" s="4" t="inlineStr">
        <is>
          <t>E02</t>
        </is>
      </c>
      <c r="C22" s="4" t="inlineStr"/>
      <c r="D22" s="4" t="inlineStr">
        <is>
          <t>E02</t>
        </is>
      </c>
      <c r="E22" s="4" t="inlineStr">
        <is>
          <t>CI/CD on Existing Jenkins — Migrate all 6 CI gates from GitHub Actions to the standalone Jenkins per ADR-0011; retire GHA.</t>
        </is>
      </c>
      <c r="F22" s="4" t="inlineStr">
        <is>
          <t>DevOps</t>
        </is>
      </c>
      <c r="G22" s="4" t="inlineStr">
        <is>
          <t>S1-S3</t>
        </is>
      </c>
      <c r="H22" s="4" t="inlineStr"/>
      <c r="I22" s="4" t="inlineStr"/>
      <c r="J22" s="4" t="inlineStr"/>
      <c r="K22" s="4" t="inlineStr"/>
      <c r="L22" s="4" t="inlineStr"/>
    </row>
    <row r="23">
      <c r="A23" s="5" t="inlineStr">
        <is>
          <t>Story</t>
        </is>
      </c>
      <c r="B23" s="5" t="inlineStr">
        <is>
          <t>ST-0201</t>
        </is>
      </c>
      <c r="C23" s="5" t="inlineStr">
        <is>
          <t>E02</t>
        </is>
      </c>
      <c r="D23" s="5" t="inlineStr">
        <is>
          <t>E02</t>
        </is>
      </c>
      <c r="E23" s="5" t="inlineStr">
        <is>
          <t>Jenkins discovery &amp; identity decision</t>
        </is>
      </c>
      <c r="F23" s="5" t="inlineStr"/>
      <c r="G23" s="5" t="inlineStr">
        <is>
          <t>S1</t>
        </is>
      </c>
      <c r="H23" s="5" t="inlineStr"/>
      <c r="I23" s="5" t="inlineStr"/>
      <c r="J23" s="5" t="inlineStr"/>
      <c r="K23" s="5" t="inlineStr"/>
      <c r="L23" s="5" t="inlineStr">
        <is>
          <t>Topology documented; auth path chosen (instance profile / OIDC IdP / keys+rotation); ADR-0011 amended.</t>
        </is>
      </c>
    </row>
    <row r="24">
      <c r="A24" s="6" t="inlineStr">
        <is>
          <t>Task</t>
        </is>
      </c>
      <c r="B24" s="6" t="inlineStr">
        <is>
          <t>T-0201</t>
        </is>
      </c>
      <c r="C24" s="6" t="inlineStr">
        <is>
          <t>ST-0201</t>
        </is>
      </c>
      <c r="D24" s="6" t="inlineStr">
        <is>
          <t>E02</t>
        </is>
      </c>
      <c r="E24" s="6" t="inlineStr">
        <is>
          <t>Document Jenkins topology: host, agents, executors, plugins, versions</t>
        </is>
      </c>
      <c r="F24" s="6" t="inlineStr">
        <is>
          <t>DevOps</t>
        </is>
      </c>
      <c r="G24" s="6" t="inlineStr">
        <is>
          <t>S1</t>
        </is>
      </c>
      <c r="H24" s="6" t="n">
        <v>1</v>
      </c>
      <c r="I24" s="6" t="inlineStr"/>
      <c r="J24" s="6" t="inlineStr"/>
      <c r="K24" s="6" t="inlineStr">
        <is>
          <t>Planned</t>
        </is>
      </c>
      <c r="L24" s="6" t="inlineStr">
        <is>
          <t>Standalone instance already running</t>
        </is>
      </c>
    </row>
    <row r="25">
      <c r="A25" s="6" t="inlineStr">
        <is>
          <t>Task</t>
        </is>
      </c>
      <c r="B25" s="6" t="inlineStr">
        <is>
          <t>T-0202</t>
        </is>
      </c>
      <c r="C25" s="6" t="inlineStr">
        <is>
          <t>ST-0201</t>
        </is>
      </c>
      <c r="D25" s="6" t="inlineStr">
        <is>
          <t>E02</t>
        </is>
      </c>
      <c r="E25" s="6" t="inlineStr">
        <is>
          <t>Choose AWS auth path: instance profile / OIDC IdP plugin / keys+rotation</t>
        </is>
      </c>
      <c r="F25" s="6" t="inlineStr">
        <is>
          <t>DevOps</t>
        </is>
      </c>
      <c r="G25" s="6" t="inlineStr">
        <is>
          <t>S1</t>
        </is>
      </c>
      <c r="H25" s="6" t="n">
        <v>1</v>
      </c>
      <c r="I25" s="6" t="inlineStr">
        <is>
          <t>T-0201</t>
        </is>
      </c>
      <c r="J25" s="6" t="inlineStr"/>
      <c r="K25" s="6" t="inlineStr">
        <is>
          <t>Planned</t>
        </is>
      </c>
      <c r="L25" s="6" t="inlineStr">
        <is>
          <t>Drives signing-foundation trust policy</t>
        </is>
      </c>
    </row>
    <row r="26">
      <c r="A26" s="6" t="inlineStr">
        <is>
          <t>Task</t>
        </is>
      </c>
      <c r="B26" s="6" t="inlineStr">
        <is>
          <t>T-0203</t>
        </is>
      </c>
      <c r="C26" s="6" t="inlineStr">
        <is>
          <t>ST-0201</t>
        </is>
      </c>
      <c r="D26" s="6" t="inlineStr">
        <is>
          <t>E02</t>
        </is>
      </c>
      <c r="E26" s="6" t="inlineStr">
        <is>
          <t>Amend ADR-0011 with the standalone-Jenkins identity decision</t>
        </is>
      </c>
      <c r="F26" s="6" t="inlineStr">
        <is>
          <t>TL</t>
        </is>
      </c>
      <c r="G26" s="6" t="inlineStr">
        <is>
          <t>S1</t>
        </is>
      </c>
      <c r="H26" s="6" t="n">
        <v>0.5</v>
      </c>
      <c r="I26" s="6" t="inlineStr">
        <is>
          <t>T-0202</t>
        </is>
      </c>
      <c r="J26" s="6" t="inlineStr"/>
      <c r="K26" s="6" t="inlineStr">
        <is>
          <t>Planned</t>
        </is>
      </c>
      <c r="L26" s="6" t="inlineStr"/>
    </row>
    <row r="27">
      <c r="A27" s="5" t="inlineStr">
        <is>
          <t>Story</t>
        </is>
      </c>
      <c r="B27" s="5" t="inlineStr">
        <is>
          <t>ST-0202</t>
        </is>
      </c>
      <c r="C27" s="5" t="inlineStr">
        <is>
          <t>E02</t>
        </is>
      </c>
      <c r="D27" s="5" t="inlineStr">
        <is>
          <t>E02</t>
        </is>
      </c>
      <c r="E27" s="5" t="inlineStr">
        <is>
          <t>Shared library proving ground</t>
        </is>
      </c>
      <c r="F27" s="5" t="inlineStr"/>
      <c r="G27" s="5" t="inlineStr">
        <is>
          <t>S1-S2</t>
        </is>
      </c>
      <c r="H27" s="5" t="inlineStr"/>
      <c r="I27" s="5" t="inlineStr"/>
      <c r="J27" s="5" t="inlineStr"/>
      <c r="K27" s="5" t="inlineStr"/>
      <c r="L27" s="5" t="inlineStr">
        <is>
          <t>absa-ci registered; ci/python-validate status visible on a GitHub PR.</t>
        </is>
      </c>
    </row>
    <row r="28">
      <c r="A28" s="6" t="inlineStr">
        <is>
          <t>Task</t>
        </is>
      </c>
      <c r="B28" s="6" t="inlineStr">
        <is>
          <t>T-0204</t>
        </is>
      </c>
      <c r="C28" s="6" t="inlineStr">
        <is>
          <t>ST-0202</t>
        </is>
      </c>
      <c r="D28" s="6" t="inlineStr">
        <is>
          <t>E02</t>
        </is>
      </c>
      <c r="E28" s="6" t="inlineStr">
        <is>
          <t>Register absa-ci as Global Pipeline Library</t>
        </is>
      </c>
      <c r="F28" s="6" t="inlineStr">
        <is>
          <t>DevOps</t>
        </is>
      </c>
      <c r="G28" s="6" t="inlineStr">
        <is>
          <t>S1</t>
        </is>
      </c>
      <c r="H28" s="6" t="n">
        <v>0.5</v>
      </c>
      <c r="I28" s="6" t="inlineStr">
        <is>
          <t>T-0201</t>
        </is>
      </c>
      <c r="J28" s="6" t="inlineStr"/>
      <c r="K28" s="6" t="inlineStr">
        <is>
          <t>Planned</t>
        </is>
      </c>
      <c r="L28" s="6" t="inlineStr">
        <is>
          <t>ci/jenkins/ path in this repo</t>
        </is>
      </c>
    </row>
    <row r="29">
      <c r="A29" s="6" t="inlineStr">
        <is>
          <t>Task</t>
        </is>
      </c>
      <c r="B29" s="6" t="inlineStr">
        <is>
          <t>T-0205</t>
        </is>
      </c>
      <c r="C29" s="6" t="inlineStr">
        <is>
          <t>ST-0202</t>
        </is>
      </c>
      <c r="D29" s="6" t="inlineStr">
        <is>
          <t>E02</t>
        </is>
      </c>
      <c r="E29" s="6" t="inlineStr">
        <is>
          <t>Create multibranch job for python-validate; first run</t>
        </is>
      </c>
      <c r="F29" s="6" t="inlineStr">
        <is>
          <t>DevOps</t>
        </is>
      </c>
      <c r="G29" s="6" t="inlineStr">
        <is>
          <t>S1</t>
        </is>
      </c>
      <c r="H29" s="6" t="n">
        <v>1</v>
      </c>
      <c r="I29" s="6" t="inlineStr">
        <is>
          <t>T-0204</t>
        </is>
      </c>
      <c r="J29" s="6" t="inlineStr"/>
      <c r="K29" s="6" t="inlineStr">
        <is>
          <t>Planned</t>
        </is>
      </c>
      <c r="L29" s="6" t="inlineStr"/>
    </row>
    <row r="30">
      <c r="A30" s="6" t="inlineStr">
        <is>
          <t>Task</t>
        </is>
      </c>
      <c r="B30" s="6" t="inlineStr">
        <is>
          <t>T-0206</t>
        </is>
      </c>
      <c r="C30" s="6" t="inlineStr">
        <is>
          <t>ST-0202</t>
        </is>
      </c>
      <c r="D30" s="6" t="inlineStr">
        <is>
          <t>E02</t>
        </is>
      </c>
      <c r="E30" s="6" t="inlineStr">
        <is>
          <t>Verify ci/python-validate commit status lands on a GitHub PR</t>
        </is>
      </c>
      <c r="F30" s="6" t="inlineStr">
        <is>
          <t>DevOps</t>
        </is>
      </c>
      <c r="G30" s="6" t="inlineStr">
        <is>
          <t>S1</t>
        </is>
      </c>
      <c r="H30" s="6" t="n">
        <v>1</v>
      </c>
      <c r="I30" s="6" t="inlineStr">
        <is>
          <t>T-0205</t>
        </is>
      </c>
      <c r="J30" s="6" t="inlineStr"/>
      <c r="K30" s="6" t="inlineStr">
        <is>
          <t>Planned</t>
        </is>
      </c>
      <c r="L30" s="6" t="inlineStr">
        <is>
          <t>Branch-protection sandbox check</t>
        </is>
      </c>
    </row>
    <row r="31">
      <c r="A31" s="6" t="inlineStr">
        <is>
          <t>Task</t>
        </is>
      </c>
      <c r="B31" s="6" t="inlineStr">
        <is>
          <t>T-0207</t>
        </is>
      </c>
      <c r="C31" s="6" t="inlineStr">
        <is>
          <t>ST-0202</t>
        </is>
      </c>
      <c r="D31" s="6" t="inlineStr">
        <is>
          <t>E02</t>
        </is>
      </c>
      <c r="E31" s="6" t="inlineStr">
        <is>
          <t>Fix shared-library Groovy issues surfaced by first runs</t>
        </is>
      </c>
      <c r="F31" s="6" t="inlineStr">
        <is>
          <t>DevOps</t>
        </is>
      </c>
      <c r="G31" s="6" t="inlineStr">
        <is>
          <t>S2</t>
        </is>
      </c>
      <c r="H31" s="6" t="n">
        <v>2</v>
      </c>
      <c r="I31" s="6" t="inlineStr">
        <is>
          <t>T-0206</t>
        </is>
      </c>
      <c r="J31" s="6" t="inlineStr"/>
      <c r="K31" s="6" t="inlineStr">
        <is>
          <t>Planned</t>
        </is>
      </c>
      <c r="L31" s="6" t="inlineStr">
        <is>
          <t>Expected: publishChecks plugin quirks, PATH handling</t>
        </is>
      </c>
    </row>
    <row r="32">
      <c r="A32" s="5" t="inlineStr">
        <is>
          <t>Story</t>
        </is>
      </c>
      <c r="B32" s="5" t="inlineStr">
        <is>
          <t>ST-0203</t>
        </is>
      </c>
      <c r="C32" s="5" t="inlineStr">
        <is>
          <t>E02</t>
        </is>
      </c>
      <c r="D32" s="5" t="inlineStr">
        <is>
          <t>E02</t>
        </is>
      </c>
      <c r="E32" s="5" t="inlineStr">
        <is>
          <t>No-AWS pipelines live</t>
        </is>
      </c>
      <c r="F32" s="5" t="inlineStr"/>
      <c r="G32" s="5" t="inlineStr">
        <is>
          <t>S2</t>
        </is>
      </c>
      <c r="H32" s="5" t="inlineStr"/>
      <c r="I32" s="5" t="inlineStr"/>
      <c r="J32" s="5" t="inlineStr"/>
      <c r="K32" s="5" t="inlineStr"/>
      <c r="L32" s="5" t="inlineStr">
        <is>
          <t>code-intake, terraform-validate, localstack-demo jobs green on Jenkins.</t>
        </is>
      </c>
    </row>
    <row r="33">
      <c r="A33" s="6" t="inlineStr">
        <is>
          <t>Task</t>
        </is>
      </c>
      <c r="B33" s="6" t="inlineStr">
        <is>
          <t>T-0208</t>
        </is>
      </c>
      <c r="C33" s="6" t="inlineStr">
        <is>
          <t>ST-0203</t>
        </is>
      </c>
      <c r="D33" s="6" t="inlineStr">
        <is>
          <t>E02</t>
        </is>
      </c>
      <c r="E33" s="6" t="inlineStr">
        <is>
          <t>code-intake job live</t>
        </is>
      </c>
      <c r="F33" s="6" t="inlineStr">
        <is>
          <t>DevOps</t>
        </is>
      </c>
      <c r="G33" s="6" t="inlineStr">
        <is>
          <t>S2</t>
        </is>
      </c>
      <c r="H33" s="6" t="n">
        <v>0.5</v>
      </c>
      <c r="I33" s="6" t="inlineStr">
        <is>
          <t>T-0207</t>
        </is>
      </c>
      <c r="J33" s="6" t="inlineStr"/>
      <c r="K33" s="6" t="inlineStr">
        <is>
          <t>Planned</t>
        </is>
      </c>
      <c r="L33" s="6" t="inlineStr"/>
    </row>
    <row r="34">
      <c r="A34" s="6" t="inlineStr">
        <is>
          <t>Task</t>
        </is>
      </c>
      <c r="B34" s="6" t="inlineStr">
        <is>
          <t>T-0209</t>
        </is>
      </c>
      <c r="C34" s="6" t="inlineStr">
        <is>
          <t>ST-0203</t>
        </is>
      </c>
      <c r="D34" s="6" t="inlineStr">
        <is>
          <t>E02</t>
        </is>
      </c>
      <c r="E34" s="6" t="inlineStr">
        <is>
          <t>terraform-validate job live (docker tflint/tfsec/checkov/gitleaks)</t>
        </is>
      </c>
      <c r="F34" s="6" t="inlineStr">
        <is>
          <t>DevOps</t>
        </is>
      </c>
      <c r="G34" s="6" t="inlineStr">
        <is>
          <t>S2</t>
        </is>
      </c>
      <c r="H34" s="6" t="n">
        <v>1.5</v>
      </c>
      <c r="I34" s="6" t="inlineStr">
        <is>
          <t>T-0207</t>
        </is>
      </c>
      <c r="J34" s="6" t="inlineStr"/>
      <c r="K34" s="6" t="inlineStr">
        <is>
          <t>Planned</t>
        </is>
      </c>
      <c r="L34" s="6" t="inlineStr"/>
    </row>
    <row r="35">
      <c r="A35" s="6" t="inlineStr">
        <is>
          <t>Task</t>
        </is>
      </c>
      <c r="B35" s="6" t="inlineStr">
        <is>
          <t>T-0210</t>
        </is>
      </c>
      <c r="C35" s="6" t="inlineStr">
        <is>
          <t>ST-0203</t>
        </is>
      </c>
      <c r="D35" s="6" t="inlineStr">
        <is>
          <t>E02</t>
        </is>
      </c>
      <c r="E35" s="6" t="inlineStr">
        <is>
          <t>localstack-demo job live (Docker on agent, 0/1/2/3 exit-code gate)</t>
        </is>
      </c>
      <c r="F35" s="6" t="inlineStr">
        <is>
          <t>DevOps</t>
        </is>
      </c>
      <c r="G35" s="6" t="inlineStr">
        <is>
          <t>S2</t>
        </is>
      </c>
      <c r="H35" s="6" t="n">
        <v>2</v>
      </c>
      <c r="I35" s="6" t="inlineStr">
        <is>
          <t>T-0207</t>
        </is>
      </c>
      <c r="J35" s="6" t="inlineStr"/>
      <c r="K35" s="6" t="inlineStr">
        <is>
          <t>Planned</t>
        </is>
      </c>
      <c r="L35" s="6" t="inlineStr">
        <is>
          <t>Needs Docker socket on agent</t>
        </is>
      </c>
    </row>
    <row r="36">
      <c r="A36" s="6" t="inlineStr">
        <is>
          <t>Task</t>
        </is>
      </c>
      <c r="B36" s="6" t="inlineStr">
        <is>
          <t>T-0211</t>
        </is>
      </c>
      <c r="C36" s="6" t="inlineStr">
        <is>
          <t>ST-0203</t>
        </is>
      </c>
      <c r="D36" s="6" t="inlineStr">
        <is>
          <t>E02</t>
        </is>
      </c>
      <c r="E36" s="6" t="inlineStr">
        <is>
          <t>Wire 7 platform secrets into Jenkins credentials store</t>
        </is>
      </c>
      <c r="F36" s="6" t="inlineStr">
        <is>
          <t>DevOps</t>
        </is>
      </c>
      <c r="G36" s="6" t="inlineStr">
        <is>
          <t>S2</t>
        </is>
      </c>
      <c r="H36" s="6" t="n">
        <v>1</v>
      </c>
      <c r="I36" s="6" t="inlineStr">
        <is>
          <t>T-0202</t>
        </is>
      </c>
      <c r="J36" s="6" t="inlineStr"/>
      <c r="K36" s="6" t="inlineStr">
        <is>
          <t>Planned</t>
        </is>
      </c>
      <c r="L36" s="6" t="inlineStr">
        <is>
          <t>Secrets Manager-backed if reachable</t>
        </is>
      </c>
    </row>
    <row r="37">
      <c r="A37" s="5" t="inlineStr">
        <is>
          <t>Story</t>
        </is>
      </c>
      <c r="B37" s="5" t="inlineStr">
        <is>
          <t>ST-0204</t>
        </is>
      </c>
      <c r="C37" s="5" t="inlineStr">
        <is>
          <t>E02</t>
        </is>
      </c>
      <c r="D37" s="5" t="inlineStr">
        <is>
          <t>E02</t>
        </is>
      </c>
      <c r="E37" s="5" t="inlineStr">
        <is>
          <t>AWS-touching pipelines + cutover</t>
        </is>
      </c>
      <c r="F37" s="5" t="inlineStr"/>
      <c r="G37" s="5" t="inlineStr">
        <is>
          <t>S3</t>
        </is>
      </c>
      <c r="H37" s="5" t="inlineStr"/>
      <c r="I37" s="5" t="inlineStr"/>
      <c r="J37" s="5" t="inlineStr"/>
      <c r="K37" s="5" t="inlineStr"/>
      <c r="L37" s="5" t="inlineStr">
        <is>
          <t>sign/register green vs real AWS; 1-week parallel run byte-identical; branch protection flipped; GHA disabled.</t>
        </is>
      </c>
    </row>
    <row r="38">
      <c r="A38" s="6" t="inlineStr">
        <is>
          <t>Task</t>
        </is>
      </c>
      <c r="B38" s="6" t="inlineStr">
        <is>
          <t>T-0212</t>
        </is>
      </c>
      <c r="C38" s="6" t="inlineStr">
        <is>
          <t>ST-0204</t>
        </is>
      </c>
      <c r="D38" s="6" t="inlineStr">
        <is>
          <t>E02</t>
        </is>
      </c>
      <c r="E38" s="6" t="inlineStr">
        <is>
          <t>pipeline-factory sign+register stages green against real AWS</t>
        </is>
      </c>
      <c r="F38" s="6" t="inlineStr">
        <is>
          <t>DevOps</t>
        </is>
      </c>
      <c r="G38" s="6" t="inlineStr">
        <is>
          <t>S3</t>
        </is>
      </c>
      <c r="H38" s="6" t="n">
        <v>2</v>
      </c>
      <c r="I38" s="6" t="inlineStr">
        <is>
          <t>T-0309,T-0211</t>
        </is>
      </c>
      <c r="J38" s="6" t="inlineStr"/>
      <c r="K38" s="6" t="inlineStr">
        <is>
          <t>Planned</t>
        </is>
      </c>
      <c r="L38" s="6" t="inlineStr"/>
    </row>
    <row r="39">
      <c r="A39" s="6" t="inlineStr">
        <is>
          <t>Task</t>
        </is>
      </c>
      <c r="B39" s="6" t="inlineStr">
        <is>
          <t>T-0213</t>
        </is>
      </c>
      <c r="C39" s="6" t="inlineStr">
        <is>
          <t>ST-0204</t>
        </is>
      </c>
      <c r="D39" s="6" t="inlineStr">
        <is>
          <t>E02</t>
        </is>
      </c>
      <c r="E39" s="6" t="inlineStr">
        <is>
          <t>publish-signing-key job</t>
        </is>
      </c>
      <c r="F39" s="6" t="inlineStr">
        <is>
          <t>DevOps</t>
        </is>
      </c>
      <c r="G39" s="6" t="inlineStr">
        <is>
          <t>S3</t>
        </is>
      </c>
      <c r="H39" s="6" t="n">
        <v>1</v>
      </c>
      <c r="I39" s="6" t="inlineStr">
        <is>
          <t>T-0310</t>
        </is>
      </c>
      <c r="J39" s="6" t="inlineStr"/>
      <c r="K39" s="6" t="inlineStr">
        <is>
          <t>Planned</t>
        </is>
      </c>
      <c r="L39" s="6" t="inlineStr"/>
    </row>
    <row r="40">
      <c r="A40" s="6" t="inlineStr">
        <is>
          <t>Task</t>
        </is>
      </c>
      <c r="B40" s="6" t="inlineStr">
        <is>
          <t>T-0214</t>
        </is>
      </c>
      <c r="C40" s="6" t="inlineStr">
        <is>
          <t>ST-0204</t>
        </is>
      </c>
      <c r="D40" s="6" t="inlineStr">
        <is>
          <t>E02</t>
        </is>
      </c>
      <c r="E40" s="6" t="inlineStr">
        <is>
          <t>1-week GHA-vs-Jenkins parallel run; byte-equivalence report</t>
        </is>
      </c>
      <c r="F40" s="6" t="inlineStr">
        <is>
          <t>DevOps</t>
        </is>
      </c>
      <c r="G40" s="6" t="inlineStr">
        <is>
          <t>S3</t>
        </is>
      </c>
      <c r="H40" s="6" t="n">
        <v>2</v>
      </c>
      <c r="I40" s="6" t="inlineStr">
        <is>
          <t>T-0212</t>
        </is>
      </c>
      <c r="J40" s="6" t="inlineStr"/>
      <c r="K40" s="6" t="inlineStr">
        <is>
          <t>Planned</t>
        </is>
      </c>
      <c r="L40" s="6" t="inlineStr">
        <is>
          <t>Compare manifest digests + signatures</t>
        </is>
      </c>
    </row>
    <row r="41">
      <c r="A41" s="6" t="inlineStr">
        <is>
          <t>Task</t>
        </is>
      </c>
      <c r="B41" s="6" t="inlineStr">
        <is>
          <t>T-0215</t>
        </is>
      </c>
      <c r="C41" s="6" t="inlineStr">
        <is>
          <t>ST-0204</t>
        </is>
      </c>
      <c r="D41" s="6" t="inlineStr">
        <is>
          <t>E02</t>
        </is>
      </c>
      <c r="E41" s="6" t="inlineStr">
        <is>
          <t>Flip branch protection to Jenkins contexts; GHA -&gt; *.disabled.yml</t>
        </is>
      </c>
      <c r="F41" s="6" t="inlineStr">
        <is>
          <t>DevOps</t>
        </is>
      </c>
      <c r="G41" s="6" t="inlineStr">
        <is>
          <t>S3</t>
        </is>
      </c>
      <c r="H41" s="6" t="n">
        <v>0.5</v>
      </c>
      <c r="I41" s="6" t="inlineStr">
        <is>
          <t>T-0214</t>
        </is>
      </c>
      <c r="J41" s="6" t="inlineStr"/>
      <c r="K41" s="6" t="inlineStr">
        <is>
          <t>Planned</t>
        </is>
      </c>
      <c r="L41" s="6" t="inlineStr"/>
    </row>
    <row r="42">
      <c r="A42" s="6" t="inlineStr">
        <is>
          <t>Task</t>
        </is>
      </c>
      <c r="B42" s="6" t="inlineStr">
        <is>
          <t>T-0216</t>
        </is>
      </c>
      <c r="C42" s="6" t="inlineStr">
        <is>
          <t>ST-0204</t>
        </is>
      </c>
      <c r="D42" s="6" t="inlineStr">
        <is>
          <t>E02</t>
        </is>
      </c>
      <c r="E42" s="6" t="inlineStr">
        <is>
          <t>Docs sweep: ADR-0003/0009 final edits; control-matrix rows -&gt; Live</t>
        </is>
      </c>
      <c r="F42" s="6" t="inlineStr">
        <is>
          <t>TL</t>
        </is>
      </c>
      <c r="G42" s="6" t="inlineStr">
        <is>
          <t>S3</t>
        </is>
      </c>
      <c r="H42" s="6" t="n">
        <v>1</v>
      </c>
      <c r="I42" s="6" t="inlineStr">
        <is>
          <t>T-0215</t>
        </is>
      </c>
      <c r="J42" s="6" t="inlineStr"/>
      <c r="K42" s="6" t="inlineStr">
        <is>
          <t>Planned</t>
        </is>
      </c>
      <c r="L42" s="6" t="inlineStr"/>
    </row>
    <row r="43">
      <c r="A43" s="4" t="inlineStr">
        <is>
          <t>EPIC</t>
        </is>
      </c>
      <c r="B43" s="4" t="inlineStr">
        <is>
          <t>E03</t>
        </is>
      </c>
      <c r="C43" s="4" t="inlineStr"/>
      <c r="D43" s="4" t="inlineStr">
        <is>
          <t>E03</t>
        </is>
      </c>
      <c r="E43" s="4" t="inlineStr">
        <is>
          <t>AWS Foundation (Real Accounts) — Bootstrap real EXL accounts, landing zone, signing foundation, registry-on-Lambda, replication path.</t>
        </is>
      </c>
      <c r="F43" s="4" t="inlineStr">
        <is>
          <t>AWS</t>
        </is>
      </c>
      <c r="G43" s="4" t="inlineStr">
        <is>
          <t>S1-S4</t>
        </is>
      </c>
      <c r="H43" s="4" t="inlineStr"/>
      <c r="I43" s="4" t="inlineStr"/>
      <c r="J43" s="4" t="inlineStr"/>
      <c r="K43" s="4" t="inlineStr"/>
      <c r="L43" s="4" t="inlineStr"/>
    </row>
    <row r="44">
      <c r="A44" s="5" t="inlineStr">
        <is>
          <t>Story</t>
        </is>
      </c>
      <c r="B44" s="5" t="inlineStr">
        <is>
          <t>ST-0301</t>
        </is>
      </c>
      <c r="C44" s="5" t="inlineStr">
        <is>
          <t>E03</t>
        </is>
      </c>
      <c r="D44" s="5" t="inlineStr">
        <is>
          <t>E03</t>
        </is>
      </c>
      <c r="E44" s="5" t="inlineStr">
        <is>
          <t>Account bootstrap &amp; state backends</t>
        </is>
      </c>
      <c r="F44" s="5" t="inlineStr"/>
      <c r="G44" s="5" t="inlineStr">
        <is>
          <t>S1-S2</t>
        </is>
      </c>
      <c r="H44" s="5" t="inlineStr"/>
      <c r="I44" s="5" t="inlineStr"/>
      <c r="J44" s="5" t="inlineStr"/>
      <c r="K44" s="5" t="inlineStr"/>
      <c r="L44" s="5" t="inlineStr">
        <is>
          <t>CloudTrail/GuardDuty/SecurityHub live in 3 EXL accounts; TF state backends operational.</t>
        </is>
      </c>
    </row>
    <row r="45">
      <c r="A45" s="6" t="inlineStr">
        <is>
          <t>Task</t>
        </is>
      </c>
      <c r="B45" s="6" t="inlineStr">
        <is>
          <t>T-0301</t>
        </is>
      </c>
      <c r="C45" s="6" t="inlineStr">
        <is>
          <t>ST-0301</t>
        </is>
      </c>
      <c r="D45" s="6" t="inlineStr">
        <is>
          <t>E03</t>
        </is>
      </c>
      <c r="E45" s="6" t="inlineStr">
        <is>
          <t>Module/stack review: gap notes vs real-AWS apply</t>
        </is>
      </c>
      <c r="F45" s="6" t="inlineStr">
        <is>
          <t>AWS</t>
        </is>
      </c>
      <c r="G45" s="6" t="inlineStr">
        <is>
          <t>S1</t>
        </is>
      </c>
      <c r="H45" s="6" t="n">
        <v>2</v>
      </c>
      <c r="I45" s="6" t="inlineStr"/>
      <c r="J45" s="6" t="inlineStr"/>
      <c r="K45" s="6" t="inlineStr">
        <is>
          <t>Planned</t>
        </is>
      </c>
      <c r="L45" s="6" t="inlineStr">
        <is>
          <t>terraform/ + account-bootstrap</t>
        </is>
      </c>
    </row>
    <row r="46">
      <c r="A46" s="6" t="inlineStr">
        <is>
          <t>Task</t>
        </is>
      </c>
      <c r="B46" s="6" t="inlineStr">
        <is>
          <t>T-0302</t>
        </is>
      </c>
      <c r="C46" s="6" t="inlineStr">
        <is>
          <t>ST-0301</t>
        </is>
      </c>
      <c r="D46" s="6" t="inlineStr">
        <is>
          <t>E03</t>
        </is>
      </c>
      <c r="E46" s="6" t="inlineStr">
        <is>
          <t>tfvars templates per env (awaiting account IDs)</t>
        </is>
      </c>
      <c r="F46" s="6" t="inlineStr">
        <is>
          <t>AWS</t>
        </is>
      </c>
      <c r="G46" s="6" t="inlineStr">
        <is>
          <t>S1</t>
        </is>
      </c>
      <c r="H46" s="6" t="n">
        <v>1</v>
      </c>
      <c r="I46" s="6" t="inlineStr">
        <is>
          <t>T-0301</t>
        </is>
      </c>
      <c r="J46" s="6" t="inlineStr"/>
      <c r="K46" s="6" t="inlineStr">
        <is>
          <t>Planned</t>
        </is>
      </c>
      <c r="L46" s="6" t="inlineStr"/>
    </row>
    <row r="47">
      <c r="A47" s="6" t="inlineStr">
        <is>
          <t>Task</t>
        </is>
      </c>
      <c r="B47" s="6" t="inlineStr">
        <is>
          <t>T-0303</t>
        </is>
      </c>
      <c r="C47" s="6" t="inlineStr">
        <is>
          <t>ST-0301</t>
        </is>
      </c>
      <c r="D47" s="6" t="inlineStr">
        <is>
          <t>E03</t>
        </is>
      </c>
      <c r="E47" s="6" t="inlineStr">
        <is>
          <t>State backend design: S3 + DynamoDB locks per account</t>
        </is>
      </c>
      <c r="F47" s="6" t="inlineStr">
        <is>
          <t>AWS</t>
        </is>
      </c>
      <c r="G47" s="6" t="inlineStr">
        <is>
          <t>S1</t>
        </is>
      </c>
      <c r="H47" s="6" t="n">
        <v>1</v>
      </c>
      <c r="I47" s="6" t="inlineStr">
        <is>
          <t>T-0301</t>
        </is>
      </c>
      <c r="J47" s="6" t="inlineStr"/>
      <c r="K47" s="6" t="inlineStr">
        <is>
          <t>Planned</t>
        </is>
      </c>
      <c r="L47" s="6" t="inlineStr"/>
    </row>
    <row r="48">
      <c r="A48" s="6" t="inlineStr">
        <is>
          <t>Task</t>
        </is>
      </c>
      <c r="B48" s="6" t="inlineStr">
        <is>
          <t>T-0304</t>
        </is>
      </c>
      <c r="C48" s="6" t="inlineStr">
        <is>
          <t>ST-0301</t>
        </is>
      </c>
      <c r="D48" s="6" t="inlineStr">
        <is>
          <t>E03</t>
        </is>
      </c>
      <c r="E48" s="6" t="inlineStr">
        <is>
          <t>Apply account-bootstrap to exl-dev/stg/prod</t>
        </is>
      </c>
      <c r="F48" s="6" t="inlineStr">
        <is>
          <t>AWS</t>
        </is>
      </c>
      <c r="G48" s="6" t="inlineStr">
        <is>
          <t>S2</t>
        </is>
      </c>
      <c r="H48" s="6" t="n">
        <v>2</v>
      </c>
      <c r="I48" s="6" t="inlineStr">
        <is>
          <t>T-0302</t>
        </is>
      </c>
      <c r="J48" s="7" t="inlineStr">
        <is>
          <t>ABSA: account IDs</t>
        </is>
      </c>
      <c r="K48" s="6" t="inlineStr">
        <is>
          <t>Planned</t>
        </is>
      </c>
      <c r="L48" s="6" t="inlineStr">
        <is>
          <t>CloudTrail, GuardDuty, SecurityHub, CIS alarms</t>
        </is>
      </c>
    </row>
    <row r="49">
      <c r="A49" s="6" t="inlineStr">
        <is>
          <t>Task</t>
        </is>
      </c>
      <c r="B49" s="6" t="inlineStr">
        <is>
          <t>T-0305</t>
        </is>
      </c>
      <c r="C49" s="6" t="inlineStr">
        <is>
          <t>ST-0301</t>
        </is>
      </c>
      <c r="D49" s="6" t="inlineStr">
        <is>
          <t>E03</t>
        </is>
      </c>
      <c r="E49" s="6" t="inlineStr">
        <is>
          <t>Apply state backends</t>
        </is>
      </c>
      <c r="F49" s="6" t="inlineStr">
        <is>
          <t>AWS</t>
        </is>
      </c>
      <c r="G49" s="6" t="inlineStr">
        <is>
          <t>S2</t>
        </is>
      </c>
      <c r="H49" s="6" t="n">
        <v>1</v>
      </c>
      <c r="I49" s="6" t="inlineStr">
        <is>
          <t>T-0304</t>
        </is>
      </c>
      <c r="J49" s="6" t="inlineStr"/>
      <c r="K49" s="6" t="inlineStr">
        <is>
          <t>Planned</t>
        </is>
      </c>
      <c r="L49" s="6" t="inlineStr"/>
    </row>
    <row r="50">
      <c r="A50" s="5" t="inlineStr">
        <is>
          <t>Story</t>
        </is>
      </c>
      <c r="B50" s="5" t="inlineStr">
        <is>
          <t>ST-0302</t>
        </is>
      </c>
      <c r="C50" s="5" t="inlineStr">
        <is>
          <t>E03</t>
        </is>
      </c>
      <c r="D50" s="5" t="inlineStr">
        <is>
          <t>E03</t>
        </is>
      </c>
      <c r="E50" s="5" t="inlineStr">
        <is>
          <t>Landing zone &amp; connectivity</t>
        </is>
      </c>
      <c r="F50" s="5" t="inlineStr"/>
      <c r="G50" s="5" t="inlineStr">
        <is>
          <t>S2-S3</t>
        </is>
      </c>
      <c r="H50" s="5" t="inlineStr"/>
      <c r="I50" s="5" t="inlineStr"/>
      <c r="J50" s="5" t="inlineStr"/>
      <c r="K50" s="5" t="inlineStr"/>
      <c r="L50" s="5" t="inlineStr">
        <is>
          <t>Landing zone applied; network path to ABSA implemented per their decision; IPs whitelisted.</t>
        </is>
      </c>
    </row>
    <row r="51">
      <c r="A51" s="6" t="inlineStr">
        <is>
          <t>Task</t>
        </is>
      </c>
      <c r="B51" s="6" t="inlineStr">
        <is>
          <t>T-0306</t>
        </is>
      </c>
      <c r="C51" s="6" t="inlineStr">
        <is>
          <t>ST-0302</t>
        </is>
      </c>
      <c r="D51" s="6" t="inlineStr">
        <is>
          <t>E03</t>
        </is>
      </c>
      <c r="E51" s="6" t="inlineStr">
        <is>
          <t>Apply landing-zone module (dev first)</t>
        </is>
      </c>
      <c r="F51" s="6" t="inlineStr">
        <is>
          <t>AWS</t>
        </is>
      </c>
      <c r="G51" s="6" t="inlineStr">
        <is>
          <t>S2</t>
        </is>
      </c>
      <c r="H51" s="6" t="n">
        <v>2</v>
      </c>
      <c r="I51" s="6" t="inlineStr">
        <is>
          <t>T-0304</t>
        </is>
      </c>
      <c r="J51" s="6" t="inlineStr"/>
      <c r="K51" s="6" t="inlineStr">
        <is>
          <t>Planned</t>
        </is>
      </c>
      <c r="L51" s="6" t="inlineStr"/>
    </row>
    <row r="52">
      <c r="A52" s="6" t="inlineStr">
        <is>
          <t>Task</t>
        </is>
      </c>
      <c r="B52" s="6" t="inlineStr">
        <is>
          <t>T-0307</t>
        </is>
      </c>
      <c r="C52" s="6" t="inlineStr">
        <is>
          <t>ST-0302</t>
        </is>
      </c>
      <c r="D52" s="6" t="inlineStr">
        <is>
          <t>E03</t>
        </is>
      </c>
      <c r="E52" s="6" t="inlineStr">
        <is>
          <t>Implement network connectivity per ABSA decision</t>
        </is>
      </c>
      <c r="F52" s="6" t="inlineStr">
        <is>
          <t>AWS</t>
        </is>
      </c>
      <c r="G52" s="6" t="inlineStr">
        <is>
          <t>S3</t>
        </is>
      </c>
      <c r="H52" s="6" t="n">
        <v>3</v>
      </c>
      <c r="I52" s="6" t="inlineStr">
        <is>
          <t>T-0306</t>
        </is>
      </c>
      <c r="J52" s="7" t="inlineStr">
        <is>
          <t>ABSA: network choice</t>
        </is>
      </c>
      <c r="K52" s="6" t="inlineStr">
        <is>
          <t>Planned</t>
        </is>
      </c>
      <c r="L52" s="6" t="inlineStr">
        <is>
          <t>VPC peering / TGW / PrivateLink</t>
        </is>
      </c>
    </row>
    <row r="53">
      <c r="A53" s="6" t="inlineStr">
        <is>
          <t>Task</t>
        </is>
      </c>
      <c r="B53" s="6" t="inlineStr">
        <is>
          <t>T-0308</t>
        </is>
      </c>
      <c r="C53" s="6" t="inlineStr">
        <is>
          <t>ST-0302</t>
        </is>
      </c>
      <c r="D53" s="6" t="inlineStr">
        <is>
          <t>E03</t>
        </is>
      </c>
      <c r="E53" s="6" t="inlineStr">
        <is>
          <t>IP whitelisting coordination with ABSA network team</t>
        </is>
      </c>
      <c r="F53" s="6" t="inlineStr">
        <is>
          <t>AWS</t>
        </is>
      </c>
      <c r="G53" s="6" t="inlineStr">
        <is>
          <t>S2</t>
        </is>
      </c>
      <c r="H53" s="6" t="n">
        <v>1</v>
      </c>
      <c r="I53" s="6" t="inlineStr">
        <is>
          <t>T-0306</t>
        </is>
      </c>
      <c r="J53" s="7" t="inlineStr">
        <is>
          <t>ABSA: network choice</t>
        </is>
      </c>
      <c r="K53" s="6" t="inlineStr">
        <is>
          <t>Planned</t>
        </is>
      </c>
      <c r="L53" s="6" t="inlineStr"/>
    </row>
    <row r="54">
      <c r="A54" s="5" t="inlineStr">
        <is>
          <t>Story</t>
        </is>
      </c>
      <c r="B54" s="5" t="inlineStr">
        <is>
          <t>ST-0303</t>
        </is>
      </c>
      <c r="C54" s="5" t="inlineStr">
        <is>
          <t>E03</t>
        </is>
      </c>
      <c r="D54" s="5" t="inlineStr">
        <is>
          <t>E03</t>
        </is>
      </c>
      <c r="E54" s="5" t="inlineStr">
        <is>
          <t>Signing foundation live</t>
        </is>
      </c>
      <c r="F54" s="5" t="inlineStr"/>
      <c r="G54" s="5" t="inlineStr">
        <is>
          <t>S2-S4</t>
        </is>
      </c>
      <c r="H54" s="5" t="inlineStr"/>
      <c r="I54" s="5" t="inlineStr"/>
      <c r="J54" s="5" t="inlineStr"/>
      <c r="K54" s="5" t="inlineStr"/>
      <c r="L54" s="5" t="inlineStr">
        <is>
          <t>KMS CMK created in exl-prod; PEM published; cross-account verify passes with ABSA principal.</t>
        </is>
      </c>
    </row>
    <row r="55">
      <c r="A55" s="6" t="inlineStr">
        <is>
          <t>Task</t>
        </is>
      </c>
      <c r="B55" s="6" t="inlineStr">
        <is>
          <t>T-0309</t>
        </is>
      </c>
      <c r="C55" s="6" t="inlineStr">
        <is>
          <t>ST-0303</t>
        </is>
      </c>
      <c r="D55" s="6" t="inlineStr">
        <is>
          <t>E03</t>
        </is>
      </c>
      <c r="E55" s="6" t="inlineStr">
        <is>
          <t>identity_provider variable in signing-foundation TF (per T-0202 decision)</t>
        </is>
      </c>
      <c r="F55" s="6" t="inlineStr">
        <is>
          <t>AWS</t>
        </is>
      </c>
      <c r="G55" s="6" t="inlineStr">
        <is>
          <t>S2</t>
        </is>
      </c>
      <c r="H55" s="6" t="n">
        <v>2</v>
      </c>
      <c r="I55" s="6" t="inlineStr">
        <is>
          <t>T-0202</t>
        </is>
      </c>
      <c r="J55" s="6" t="inlineStr"/>
      <c r="K55" s="6" t="inlineStr">
        <is>
          <t>Planned</t>
        </is>
      </c>
      <c r="L55" s="6" t="inlineStr">
        <is>
          <t>Supports github_actions | jenkins variants during cutover</t>
        </is>
      </c>
    </row>
    <row r="56">
      <c r="A56" s="6" t="inlineStr">
        <is>
          <t>Task</t>
        </is>
      </c>
      <c r="B56" s="6" t="inlineStr">
        <is>
          <t>T-0310</t>
        </is>
      </c>
      <c r="C56" s="6" t="inlineStr">
        <is>
          <t>ST-0303</t>
        </is>
      </c>
      <c r="D56" s="6" t="inlineStr">
        <is>
          <t>E03</t>
        </is>
      </c>
      <c r="E56" s="6" t="inlineStr">
        <is>
          <t>Apply signing stack to exl-prod; CMK + buckets + roles live</t>
        </is>
      </c>
      <c r="F56" s="6" t="inlineStr">
        <is>
          <t>AWS</t>
        </is>
      </c>
      <c r="G56" s="6" t="inlineStr">
        <is>
          <t>S3</t>
        </is>
      </c>
      <c r="H56" s="6" t="n">
        <v>1</v>
      </c>
      <c r="I56" s="6" t="inlineStr">
        <is>
          <t>T-0309,T-0304</t>
        </is>
      </c>
      <c r="J56" s="6" t="inlineStr"/>
      <c r="K56" s="6" t="inlineStr">
        <is>
          <t>Planned</t>
        </is>
      </c>
      <c r="L56" s="6" t="inlineStr"/>
    </row>
    <row r="57">
      <c r="A57" s="6" t="inlineStr">
        <is>
          <t>Task</t>
        </is>
      </c>
      <c r="B57" s="6" t="inlineStr">
        <is>
          <t>T-0311</t>
        </is>
      </c>
      <c r="C57" s="6" t="inlineStr">
        <is>
          <t>ST-0303</t>
        </is>
      </c>
      <c r="D57" s="6" t="inlineStr">
        <is>
          <t>E03</t>
        </is>
      </c>
      <c r="E57" s="6" t="inlineStr">
        <is>
          <t>Run publish-key; PEM in public bucket</t>
        </is>
      </c>
      <c r="F57" s="6" t="inlineStr">
        <is>
          <t>AWS</t>
        </is>
      </c>
      <c r="G57" s="6" t="inlineStr">
        <is>
          <t>S3</t>
        </is>
      </c>
      <c r="H57" s="6" t="n">
        <v>0.5</v>
      </c>
      <c r="I57" s="6" t="inlineStr">
        <is>
          <t>T-0310</t>
        </is>
      </c>
      <c r="J57" s="6" t="inlineStr"/>
      <c r="K57" s="6" t="inlineStr">
        <is>
          <t>Planned</t>
        </is>
      </c>
      <c r="L57" s="6" t="inlineStr"/>
    </row>
    <row r="58">
      <c r="A58" s="6" t="inlineStr">
        <is>
          <t>Task</t>
        </is>
      </c>
      <c r="B58" s="6" t="inlineStr">
        <is>
          <t>T-0312</t>
        </is>
      </c>
      <c r="C58" s="6" t="inlineStr">
        <is>
          <t>ST-0303</t>
        </is>
      </c>
      <c r="D58" s="6" t="inlineStr">
        <is>
          <t>E03</t>
        </is>
      </c>
      <c r="E58" s="6" t="inlineStr">
        <is>
          <t>Cross-account verify test with real ABSA principal</t>
        </is>
      </c>
      <c r="F58" s="6" t="inlineStr">
        <is>
          <t>AWS</t>
        </is>
      </c>
      <c r="G58" s="6" t="inlineStr">
        <is>
          <t>S4</t>
        </is>
      </c>
      <c r="H58" s="6" t="n">
        <v>1</v>
      </c>
      <c r="I58" s="6" t="inlineStr">
        <is>
          <t>T-0311</t>
        </is>
      </c>
      <c r="J58" s="7" t="inlineStr">
        <is>
          <t>ABSA: IAM ARNs</t>
        </is>
      </c>
      <c r="K58" s="6" t="inlineStr">
        <is>
          <t>Planned</t>
        </is>
      </c>
      <c r="L58" s="6" t="inlineStr"/>
    </row>
    <row r="59">
      <c r="A59" s="5" t="inlineStr">
        <is>
          <t>Story</t>
        </is>
      </c>
      <c r="B59" s="5" t="inlineStr">
        <is>
          <t>ST-0304</t>
        </is>
      </c>
      <c r="C59" s="5" t="inlineStr">
        <is>
          <t>E03</t>
        </is>
      </c>
      <c r="D59" s="5" t="inlineStr">
        <is>
          <t>E03</t>
        </is>
      </c>
      <c r="E59" s="5" t="inlineStr">
        <is>
          <t>Registry API on real AWS</t>
        </is>
      </c>
      <c r="F59" s="5" t="inlineStr"/>
      <c r="G59" s="5" t="inlineStr">
        <is>
          <t>S3-S4</t>
        </is>
      </c>
      <c r="H59" s="5" t="inlineStr"/>
      <c r="I59" s="5" t="inlineStr"/>
      <c r="J59" s="5" t="inlineStr"/>
      <c r="K59" s="5" t="inlineStr"/>
      <c r="L59" s="5" t="inlineStr">
        <is>
          <t>registry-api on Lambda+APIGW in dev-&gt;prod; SigV4 register smoke passes.</t>
        </is>
      </c>
    </row>
    <row r="60">
      <c r="A60" s="6" t="inlineStr">
        <is>
          <t>Task</t>
        </is>
      </c>
      <c r="B60" s="6" t="inlineStr">
        <is>
          <t>T-0313</t>
        </is>
      </c>
      <c r="C60" s="6" t="inlineStr">
        <is>
          <t>ST-0304</t>
        </is>
      </c>
      <c r="D60" s="6" t="inlineStr">
        <is>
          <t>E03</t>
        </is>
      </c>
      <c r="E60" s="6" t="inlineStr">
        <is>
          <t>Lambda packaging for registry-api (adapter + artifact build)</t>
        </is>
      </c>
      <c r="F60" s="6" t="inlineStr">
        <is>
          <t>AWS</t>
        </is>
      </c>
      <c r="G60" s="6" t="inlineStr">
        <is>
          <t>S3</t>
        </is>
      </c>
      <c r="H60" s="6" t="n">
        <v>2</v>
      </c>
      <c r="I60" s="6" t="inlineStr">
        <is>
          <t>T-0304</t>
        </is>
      </c>
      <c r="J60" s="6" t="inlineStr"/>
      <c r="K60" s="6" t="inlineStr">
        <is>
          <t>Planned</t>
        </is>
      </c>
      <c r="L60" s="6" t="inlineStr">
        <is>
          <t>Largest demo-&gt;prod gap per Phase 3 closeout</t>
        </is>
      </c>
    </row>
    <row r="61">
      <c r="A61" s="6" t="inlineStr">
        <is>
          <t>Task</t>
        </is>
      </c>
      <c r="B61" s="6" t="inlineStr">
        <is>
          <t>T-0314</t>
        </is>
      </c>
      <c r="C61" s="6" t="inlineStr">
        <is>
          <t>ST-0304</t>
        </is>
      </c>
      <c r="D61" s="6" t="inlineStr">
        <is>
          <t>E03</t>
        </is>
      </c>
      <c r="E61" s="6" t="inlineStr">
        <is>
          <t>Finish Lambda packaging + tests</t>
        </is>
      </c>
      <c r="F61" s="6" t="inlineStr">
        <is>
          <t>AWS</t>
        </is>
      </c>
      <c r="G61" s="6" t="inlineStr">
        <is>
          <t>S4</t>
        </is>
      </c>
      <c r="H61" s="6" t="n">
        <v>1</v>
      </c>
      <c r="I61" s="6" t="inlineStr">
        <is>
          <t>T-0313</t>
        </is>
      </c>
      <c r="J61" s="6" t="inlineStr"/>
      <c r="K61" s="6" t="inlineStr">
        <is>
          <t>Planned</t>
        </is>
      </c>
      <c r="L61" s="6" t="inlineStr"/>
    </row>
    <row r="62">
      <c r="A62" s="6" t="inlineStr">
        <is>
          <t>Task</t>
        </is>
      </c>
      <c r="B62" s="6" t="inlineStr">
        <is>
          <t>T-0315</t>
        </is>
      </c>
      <c r="C62" s="6" t="inlineStr">
        <is>
          <t>ST-0304</t>
        </is>
      </c>
      <c r="D62" s="6" t="inlineStr">
        <is>
          <t>E03</t>
        </is>
      </c>
      <c r="E62" s="6" t="inlineStr">
        <is>
          <t>Apply APIGW+Lambda+DynamoDB registry stack (dev) + smoke</t>
        </is>
      </c>
      <c r="F62" s="6" t="inlineStr">
        <is>
          <t>AWS</t>
        </is>
      </c>
      <c r="G62" s="6" t="inlineStr">
        <is>
          <t>S4</t>
        </is>
      </c>
      <c r="H62" s="6" t="n">
        <v>2</v>
      </c>
      <c r="I62" s="6" t="inlineStr">
        <is>
          <t>T-0314</t>
        </is>
      </c>
      <c r="J62" s="6" t="inlineStr"/>
      <c r="K62" s="6" t="inlineStr">
        <is>
          <t>Planned</t>
        </is>
      </c>
      <c r="L62" s="6" t="inlineStr"/>
    </row>
    <row r="63">
      <c r="A63" s="6" t="inlineStr">
        <is>
          <t>Task</t>
        </is>
      </c>
      <c r="B63" s="6" t="inlineStr">
        <is>
          <t>T-0316</t>
        </is>
      </c>
      <c r="C63" s="6" t="inlineStr">
        <is>
          <t>ST-0304</t>
        </is>
      </c>
      <c r="D63" s="6" t="inlineStr">
        <is>
          <t>E03</t>
        </is>
      </c>
      <c r="E63" s="6" t="inlineStr">
        <is>
          <t>SigV4 register smoke from pipeline-factory</t>
        </is>
      </c>
      <c r="F63" s="6" t="inlineStr">
        <is>
          <t>TL</t>
        </is>
      </c>
      <c r="G63" s="6" t="inlineStr">
        <is>
          <t>S4</t>
        </is>
      </c>
      <c r="H63" s="6" t="n">
        <v>1</v>
      </c>
      <c r="I63" s="6" t="inlineStr">
        <is>
          <t>T-0315</t>
        </is>
      </c>
      <c r="J63" s="6" t="inlineStr"/>
      <c r="K63" s="6" t="inlineStr">
        <is>
          <t>Planned</t>
        </is>
      </c>
      <c r="L63" s="6" t="inlineStr"/>
    </row>
    <row r="64">
      <c r="A64" s="6" t="inlineStr">
        <is>
          <t>Task</t>
        </is>
      </c>
      <c r="B64" s="6" t="inlineStr">
        <is>
          <t>T-0317</t>
        </is>
      </c>
      <c r="C64" s="6" t="inlineStr">
        <is>
          <t>ST-0304</t>
        </is>
      </c>
      <c r="D64" s="6" t="inlineStr">
        <is>
          <t>E03</t>
        </is>
      </c>
      <c r="E64" s="6" t="inlineStr">
        <is>
          <t>Promote registry to stg + prod</t>
        </is>
      </c>
      <c r="F64" s="6" t="inlineStr">
        <is>
          <t>AWS</t>
        </is>
      </c>
      <c r="G64" s="6" t="inlineStr">
        <is>
          <t>S4</t>
        </is>
      </c>
      <c r="H64" s="6" t="n">
        <v>1</v>
      </c>
      <c r="I64" s="6" t="inlineStr">
        <is>
          <t>T-0316</t>
        </is>
      </c>
      <c r="J64" s="6" t="inlineStr"/>
      <c r="K64" s="6" t="inlineStr">
        <is>
          <t>Planned</t>
        </is>
      </c>
      <c r="L64" s="6" t="inlineStr"/>
    </row>
    <row r="65">
      <c r="A65" s="5" t="inlineStr">
        <is>
          <t>Story</t>
        </is>
      </c>
      <c r="B65" s="5" t="inlineStr">
        <is>
          <t>ST-0305</t>
        </is>
      </c>
      <c r="C65" s="5" t="inlineStr">
        <is>
          <t>E03</t>
        </is>
      </c>
      <c r="D65" s="5" t="inlineStr">
        <is>
          <t>E03</t>
        </is>
      </c>
      <c r="E65" s="5" t="inlineStr">
        <is>
          <t>S3 replication path</t>
        </is>
      </c>
      <c r="F65" s="5" t="inlineStr"/>
      <c r="G65" s="5" t="inlineStr">
        <is>
          <t>S4</t>
        </is>
      </c>
      <c r="H65" s="5" t="inlineStr"/>
      <c r="I65" s="5" t="inlineStr"/>
      <c r="J65" s="5" t="inlineStr"/>
      <c r="K65" s="5" t="inlineStr"/>
      <c r="L65" s="5" t="inlineStr">
        <is>
          <t>Replication modules applied; encrypted transfer validated end-to-end with ABSA test object.</t>
        </is>
      </c>
    </row>
    <row r="66">
      <c r="A66" s="6" t="inlineStr">
        <is>
          <t>Task</t>
        </is>
      </c>
      <c r="B66" s="6" t="inlineStr">
        <is>
          <t>T-0318</t>
        </is>
      </c>
      <c r="C66" s="6" t="inlineStr">
        <is>
          <t>ST-0305</t>
        </is>
      </c>
      <c r="D66" s="6" t="inlineStr">
        <is>
          <t>E03</t>
        </is>
      </c>
      <c r="E66" s="6" t="inlineStr">
        <is>
          <t>Apply s3-replication source + destination modules</t>
        </is>
      </c>
      <c r="F66" s="6" t="inlineStr">
        <is>
          <t>AWS</t>
        </is>
      </c>
      <c r="G66" s="6" t="inlineStr">
        <is>
          <t>S4</t>
        </is>
      </c>
      <c r="H66" s="6" t="n">
        <v>1.5</v>
      </c>
      <c r="I66" s="6" t="inlineStr">
        <is>
          <t>T-0306</t>
        </is>
      </c>
      <c r="J66" s="7" t="inlineStr">
        <is>
          <t>ABSA: data movement</t>
        </is>
      </c>
      <c r="K66" s="6" t="inlineStr">
        <is>
          <t>Planned</t>
        </is>
      </c>
      <c r="L66" s="6" t="inlineStr"/>
    </row>
    <row r="67">
      <c r="A67" s="6" t="inlineStr">
        <is>
          <t>Task</t>
        </is>
      </c>
      <c r="B67" s="6" t="inlineStr">
        <is>
          <t>T-0319</t>
        </is>
      </c>
      <c r="C67" s="6" t="inlineStr">
        <is>
          <t>ST-0305</t>
        </is>
      </c>
      <c r="D67" s="6" t="inlineStr">
        <is>
          <t>E03</t>
        </is>
      </c>
      <c r="E67" s="6" t="inlineStr">
        <is>
          <t>Encrypted transfer validated end-to-end with ABSA test object</t>
        </is>
      </c>
      <c r="F67" s="6" t="inlineStr">
        <is>
          <t>AWS</t>
        </is>
      </c>
      <c r="G67" s="6" t="inlineStr">
        <is>
          <t>S4</t>
        </is>
      </c>
      <c r="H67" s="6" t="n">
        <v>1</v>
      </c>
      <c r="I67" s="6" t="inlineStr">
        <is>
          <t>T-0318</t>
        </is>
      </c>
      <c r="J67" s="7" t="inlineStr">
        <is>
          <t>ABSA: data movement</t>
        </is>
      </c>
      <c r="K67" s="6" t="inlineStr">
        <is>
          <t>Planned</t>
        </is>
      </c>
      <c r="L67" s="6" t="inlineStr"/>
    </row>
    <row r="68">
      <c r="A68" s="4" t="inlineStr">
        <is>
          <t>EPIC</t>
        </is>
      </c>
      <c r="B68" s="4" t="inlineStr">
        <is>
          <t>E04</t>
        </is>
      </c>
      <c r="C68" s="4" t="inlineStr"/>
      <c r="D68" s="4" t="inlineStr">
        <is>
          <t>E04</t>
        </is>
      </c>
      <c r="E68" s="4" t="inlineStr">
        <is>
          <t>Data Readiness &amp; Quality — Data contracts, ingestion validation, DQ framework (volume + drift), PIR integration.</t>
        </is>
      </c>
      <c r="F68" s="4" t="inlineStr">
        <is>
          <t>DE</t>
        </is>
      </c>
      <c r="G68" s="4" t="inlineStr">
        <is>
          <t>S1-S7</t>
        </is>
      </c>
      <c r="H68" s="4" t="inlineStr"/>
      <c r="I68" s="4" t="inlineStr"/>
      <c r="J68" s="4" t="inlineStr"/>
      <c r="K68" s="4" t="inlineStr"/>
      <c r="L68" s="4" t="inlineStr"/>
    </row>
    <row r="69">
      <c r="A69" s="5" t="inlineStr">
        <is>
          <t>Story</t>
        </is>
      </c>
      <c r="B69" s="5" t="inlineStr">
        <is>
          <t>ST-0401</t>
        </is>
      </c>
      <c r="C69" s="5" t="inlineStr">
        <is>
          <t>E04</t>
        </is>
      </c>
      <c r="D69" s="5" t="inlineStr">
        <is>
          <t>E04</t>
        </is>
      </c>
      <c r="E69" s="5" t="inlineStr">
        <is>
          <t>Data contracts per model</t>
        </is>
      </c>
      <c r="F69" s="5" t="inlineStr"/>
      <c r="G69" s="5" t="inlineStr">
        <is>
          <t>S1-S2</t>
        </is>
      </c>
      <c r="H69" s="5" t="inlineStr"/>
      <c r="I69" s="5" t="inlineStr"/>
      <c r="J69" s="5" t="inlineStr"/>
      <c r="K69" s="5" t="inlineStr"/>
      <c r="L69" s="5" t="inlineStr">
        <is>
          <t>Data dictionary template + input schemas for models 1-2; volume/cadence matrix for all 10.</t>
        </is>
      </c>
    </row>
    <row r="70">
      <c r="A70" s="6" t="inlineStr">
        <is>
          <t>Task</t>
        </is>
      </c>
      <c r="B70" s="6" t="inlineStr">
        <is>
          <t>T-0401</t>
        </is>
      </c>
      <c r="C70" s="6" t="inlineStr">
        <is>
          <t>ST-0401</t>
        </is>
      </c>
      <c r="D70" s="6" t="inlineStr">
        <is>
          <t>E04</t>
        </is>
      </c>
      <c r="E70" s="6" t="inlineStr">
        <is>
          <t>Study platform-contracts schemas + PIR mapping + demo data flow</t>
        </is>
      </c>
      <c r="F70" s="6" t="inlineStr">
        <is>
          <t>DE</t>
        </is>
      </c>
      <c r="G70" s="6" t="inlineStr">
        <is>
          <t>S1</t>
        </is>
      </c>
      <c r="H70" s="6" t="n">
        <v>1</v>
      </c>
      <c r="I70" s="6" t="inlineStr"/>
      <c r="J70" s="6" t="inlineStr"/>
      <c r="K70" s="6" t="inlineStr">
        <is>
          <t>Planned</t>
        </is>
      </c>
      <c r="L70" s="6" t="inlineStr"/>
    </row>
    <row r="71">
      <c r="A71" s="6" t="inlineStr">
        <is>
          <t>Task</t>
        </is>
      </c>
      <c r="B71" s="6" t="inlineStr">
        <is>
          <t>T-0402</t>
        </is>
      </c>
      <c r="C71" s="6" t="inlineStr">
        <is>
          <t>ST-0401</t>
        </is>
      </c>
      <c r="D71" s="6" t="inlineStr">
        <is>
          <t>E04</t>
        </is>
      </c>
      <c r="E71" s="6" t="inlineStr">
        <is>
          <t>Data dictionary template (input schema, types, nullability, PIR link)</t>
        </is>
      </c>
      <c r="F71" s="6" t="inlineStr">
        <is>
          <t>DE</t>
        </is>
      </c>
      <c r="G71" s="6" t="inlineStr">
        <is>
          <t>S1</t>
        </is>
      </c>
      <c r="H71" s="6" t="n">
        <v>2</v>
      </c>
      <c r="I71" s="6" t="inlineStr">
        <is>
          <t>T-0401</t>
        </is>
      </c>
      <c r="J71" s="6" t="inlineStr"/>
      <c r="K71" s="6" t="inlineStr">
        <is>
          <t>Planned</t>
        </is>
      </c>
      <c r="L71" s="6" t="inlineStr"/>
    </row>
    <row r="72">
      <c r="A72" s="6" t="inlineStr">
        <is>
          <t>Task</t>
        </is>
      </c>
      <c r="B72" s="6" t="inlineStr">
        <is>
          <t>T-0403</t>
        </is>
      </c>
      <c r="C72" s="6" t="inlineStr">
        <is>
          <t>ST-0401</t>
        </is>
      </c>
      <c r="D72" s="6" t="inlineStr">
        <is>
          <t>E04</t>
        </is>
      </c>
      <c r="E72" s="6" t="inlineStr">
        <is>
          <t>Input schemas for models 1-2</t>
        </is>
      </c>
      <c r="F72" s="6" t="inlineStr">
        <is>
          <t>DE</t>
        </is>
      </c>
      <c r="G72" s="6" t="inlineStr">
        <is>
          <t>S2</t>
        </is>
      </c>
      <c r="H72" s="6" t="n">
        <v>2</v>
      </c>
      <c r="I72" s="6" t="inlineStr">
        <is>
          <t>T-0402</t>
        </is>
      </c>
      <c r="J72" s="7" t="inlineStr">
        <is>
          <t>ABSA: model docs</t>
        </is>
      </c>
      <c r="K72" s="6" t="inlineStr">
        <is>
          <t>Planned</t>
        </is>
      </c>
      <c r="L72" s="6" t="inlineStr"/>
    </row>
    <row r="73">
      <c r="A73" s="6" t="inlineStr">
        <is>
          <t>Task</t>
        </is>
      </c>
      <c r="B73" s="6" t="inlineStr">
        <is>
          <t>T-0404</t>
        </is>
      </c>
      <c r="C73" s="6" t="inlineStr">
        <is>
          <t>ST-0401</t>
        </is>
      </c>
      <c r="D73" s="6" t="inlineStr">
        <is>
          <t>E04</t>
        </is>
      </c>
      <c r="E73" s="6" t="inlineStr">
        <is>
          <t>Volume/cadence matrix for all 10 models</t>
        </is>
      </c>
      <c r="F73" s="6" t="inlineStr">
        <is>
          <t>DE</t>
        </is>
      </c>
      <c r="G73" s="6" t="inlineStr">
        <is>
          <t>S2</t>
        </is>
      </c>
      <c r="H73" s="6" t="n">
        <v>1</v>
      </c>
      <c r="I73" s="6" t="inlineStr">
        <is>
          <t>T-0402</t>
        </is>
      </c>
      <c r="J73" s="6" t="inlineStr"/>
      <c r="K73" s="6" t="inlineStr">
        <is>
          <t>Planned</t>
        </is>
      </c>
      <c r="L73" s="6" t="inlineStr">
        <is>
          <t>Daily / weekly / monthly per model</t>
        </is>
      </c>
    </row>
    <row r="74">
      <c r="A74" s="5" t="inlineStr">
        <is>
          <t>Story</t>
        </is>
      </c>
      <c r="B74" s="5" t="inlineStr">
        <is>
          <t>ST-0402</t>
        </is>
      </c>
      <c r="C74" s="5" t="inlineStr">
        <is>
          <t>E04</t>
        </is>
      </c>
      <c r="D74" s="5" t="inlineStr">
        <is>
          <t>E04</t>
        </is>
      </c>
      <c r="E74" s="5" t="inlineStr">
        <is>
          <t>Ingestion &amp; arrival validation</t>
        </is>
      </c>
      <c r="F74" s="5" t="inlineStr"/>
      <c r="G74" s="5" t="inlineStr">
        <is>
          <t>S2-S3</t>
        </is>
      </c>
      <c r="H74" s="5" t="inlineStr"/>
      <c r="I74" s="5" t="inlineStr"/>
      <c r="J74" s="5" t="inlineStr"/>
      <c r="K74" s="5" t="inlineStr"/>
      <c r="L74" s="5" t="inlineStr">
        <is>
          <t>Bucket layout convention; schema-on-arrival validation job; reject/return-to-ABSA workflow.</t>
        </is>
      </c>
    </row>
    <row r="75">
      <c r="A75" s="6" t="inlineStr">
        <is>
          <t>Task</t>
        </is>
      </c>
      <c r="B75" s="6" t="inlineStr">
        <is>
          <t>T-0405</t>
        </is>
      </c>
      <c r="C75" s="6" t="inlineStr">
        <is>
          <t>ST-0402</t>
        </is>
      </c>
      <c r="D75" s="6" t="inlineStr">
        <is>
          <t>E04</t>
        </is>
      </c>
      <c r="E75" s="6" t="inlineStr">
        <is>
          <t>Bucket layout + partitioning convention for scoring inputs</t>
        </is>
      </c>
      <c r="F75" s="6" t="inlineStr">
        <is>
          <t>DE</t>
        </is>
      </c>
      <c r="G75" s="6" t="inlineStr">
        <is>
          <t>S2</t>
        </is>
      </c>
      <c r="H75" s="6" t="n">
        <v>1</v>
      </c>
      <c r="I75" s="6" t="inlineStr">
        <is>
          <t>T-0402</t>
        </is>
      </c>
      <c r="J75" s="6" t="inlineStr"/>
      <c r="K75" s="6" t="inlineStr">
        <is>
          <t>Planned</t>
        </is>
      </c>
      <c r="L75" s="6" t="inlineStr"/>
    </row>
    <row r="76">
      <c r="A76" s="6" t="inlineStr">
        <is>
          <t>Task</t>
        </is>
      </c>
      <c r="B76" s="6" t="inlineStr">
        <is>
          <t>T-0406</t>
        </is>
      </c>
      <c r="C76" s="6" t="inlineStr">
        <is>
          <t>ST-0402</t>
        </is>
      </c>
      <c r="D76" s="6" t="inlineStr">
        <is>
          <t>E04</t>
        </is>
      </c>
      <c r="E76" s="6" t="inlineStr">
        <is>
          <t>Arrival validation job: schema check on landing</t>
        </is>
      </c>
      <c r="F76" s="6" t="inlineStr">
        <is>
          <t>DE</t>
        </is>
      </c>
      <c r="G76" s="6" t="inlineStr">
        <is>
          <t>S3</t>
        </is>
      </c>
      <c r="H76" s="6" t="n">
        <v>3</v>
      </c>
      <c r="I76" s="6" t="inlineStr">
        <is>
          <t>T-0405</t>
        </is>
      </c>
      <c r="J76" s="6" t="inlineStr"/>
      <c r="K76" s="6" t="inlineStr">
        <is>
          <t>Planned</t>
        </is>
      </c>
      <c r="L76" s="6" t="inlineStr"/>
    </row>
    <row r="77">
      <c r="A77" s="6" t="inlineStr">
        <is>
          <t>Task</t>
        </is>
      </c>
      <c r="B77" s="6" t="inlineStr">
        <is>
          <t>T-0407</t>
        </is>
      </c>
      <c r="C77" s="6" t="inlineStr">
        <is>
          <t>ST-0402</t>
        </is>
      </c>
      <c r="D77" s="6" t="inlineStr">
        <is>
          <t>E04</t>
        </is>
      </c>
      <c r="E77" s="6" t="inlineStr">
        <is>
          <t>Reject / return-to-ABSA workflow for failed files</t>
        </is>
      </c>
      <c r="F77" s="6" t="inlineStr">
        <is>
          <t>DE</t>
        </is>
      </c>
      <c r="G77" s="6" t="inlineStr">
        <is>
          <t>S3</t>
        </is>
      </c>
      <c r="H77" s="6" t="n">
        <v>1</v>
      </c>
      <c r="I77" s="6" t="inlineStr">
        <is>
          <t>T-0406</t>
        </is>
      </c>
      <c r="J77" s="6" t="inlineStr"/>
      <c r="K77" s="6" t="inlineStr">
        <is>
          <t>Planned</t>
        </is>
      </c>
      <c r="L77" s="6" t="inlineStr"/>
    </row>
    <row r="78">
      <c r="A78" s="5" t="inlineStr">
        <is>
          <t>Story</t>
        </is>
      </c>
      <c r="B78" s="5" t="inlineStr">
        <is>
          <t>ST-0403</t>
        </is>
      </c>
      <c r="C78" s="5" t="inlineStr">
        <is>
          <t>E04</t>
        </is>
      </c>
      <c r="D78" s="5" t="inlineStr">
        <is>
          <t>E04</t>
        </is>
      </c>
      <c r="E78" s="5" t="inlineStr">
        <is>
          <t>Data quality framework</t>
        </is>
      </c>
      <c r="F78" s="5" t="inlineStr"/>
      <c r="G78" s="5" t="inlineStr">
        <is>
          <t>S4-S5</t>
        </is>
      </c>
      <c r="H78" s="5" t="inlineStr"/>
      <c r="I78" s="5" t="inlineStr"/>
      <c r="J78" s="5" t="inlineStr"/>
      <c r="K78" s="5" t="inlineStr"/>
      <c r="L78" s="5" t="inlineStr">
        <is>
          <t>Volume band checks + PSI drift design (feeds decision D01); DQ report artifact per run.</t>
        </is>
      </c>
    </row>
    <row r="79">
      <c r="A79" s="6" t="inlineStr">
        <is>
          <t>Task</t>
        </is>
      </c>
      <c r="B79" s="6" t="inlineStr">
        <is>
          <t>T-0408</t>
        </is>
      </c>
      <c r="C79" s="6" t="inlineStr">
        <is>
          <t>ST-0403</t>
        </is>
      </c>
      <c r="D79" s="6" t="inlineStr">
        <is>
          <t>E04</t>
        </is>
      </c>
      <c r="E79" s="6" t="inlineStr">
        <is>
          <t>Volume checks: row-count expectation bands per model</t>
        </is>
      </c>
      <c r="F79" s="6" t="inlineStr">
        <is>
          <t>DE</t>
        </is>
      </c>
      <c r="G79" s="6" t="inlineStr">
        <is>
          <t>S4</t>
        </is>
      </c>
      <c r="H79" s="6" t="n">
        <v>2</v>
      </c>
      <c r="I79" s="6" t="inlineStr">
        <is>
          <t>T-0406</t>
        </is>
      </c>
      <c r="J79" s="6" t="inlineStr"/>
      <c r="K79" s="6" t="inlineStr">
        <is>
          <t>Planned</t>
        </is>
      </c>
      <c r="L79" s="6" t="inlineStr"/>
    </row>
    <row r="80">
      <c r="A80" s="6" t="inlineStr">
        <is>
          <t>Task</t>
        </is>
      </c>
      <c r="B80" s="6" t="inlineStr">
        <is>
          <t>T-0409</t>
        </is>
      </c>
      <c r="C80" s="6" t="inlineStr">
        <is>
          <t>ST-0403</t>
        </is>
      </c>
      <c r="D80" s="6" t="inlineStr">
        <is>
          <t>E04</t>
        </is>
      </c>
      <c r="E80" s="6" t="inlineStr">
        <is>
          <t>Drift metric design (PSI per feature) -&gt; D01 proposal to ABSA</t>
        </is>
      </c>
      <c r="F80" s="6" t="inlineStr">
        <is>
          <t>DE</t>
        </is>
      </c>
      <c r="G80" s="6" t="inlineStr">
        <is>
          <t>S4</t>
        </is>
      </c>
      <c r="H80" s="6" t="n">
        <v>2</v>
      </c>
      <c r="I80" s="6" t="inlineStr">
        <is>
          <t>T-0406</t>
        </is>
      </c>
      <c r="J80" s="6" t="inlineStr"/>
      <c r="K80" s="6" t="inlineStr">
        <is>
          <t>Planned</t>
        </is>
      </c>
      <c r="L80" s="6" t="inlineStr">
        <is>
          <t>Feeds open decision D01</t>
        </is>
      </c>
    </row>
    <row r="81">
      <c r="A81" s="6" t="inlineStr">
        <is>
          <t>Task</t>
        </is>
      </c>
      <c r="B81" s="6" t="inlineStr">
        <is>
          <t>T-0410</t>
        </is>
      </c>
      <c r="C81" s="6" t="inlineStr">
        <is>
          <t>ST-0403</t>
        </is>
      </c>
      <c r="D81" s="6" t="inlineStr">
        <is>
          <t>E04</t>
        </is>
      </c>
      <c r="E81" s="6" t="inlineStr">
        <is>
          <t>DQ report artifact published per scoring run</t>
        </is>
      </c>
      <c r="F81" s="6" t="inlineStr">
        <is>
          <t>DE</t>
        </is>
      </c>
      <c r="G81" s="6" t="inlineStr">
        <is>
          <t>S5</t>
        </is>
      </c>
      <c r="H81" s="6" t="n">
        <v>2</v>
      </c>
      <c r="I81" s="6" t="inlineStr">
        <is>
          <t>T-0408</t>
        </is>
      </c>
      <c r="J81" s="6" t="inlineStr"/>
      <c r="K81" s="6" t="inlineStr">
        <is>
          <t>Planned</t>
        </is>
      </c>
      <c r="L81" s="6" t="inlineStr"/>
    </row>
    <row r="82">
      <c r="A82" s="5" t="inlineStr">
        <is>
          <t>Story</t>
        </is>
      </c>
      <c r="B82" s="5" t="inlineStr">
        <is>
          <t>ST-0404</t>
        </is>
      </c>
      <c r="C82" s="5" t="inlineStr">
        <is>
          <t>E04</t>
        </is>
      </c>
      <c r="D82" s="5" t="inlineStr">
        <is>
          <t>E04</t>
        </is>
      </c>
      <c r="E82" s="5" t="inlineStr">
        <is>
          <t>PIR integration</t>
        </is>
      </c>
      <c r="F82" s="5" t="inlineStr"/>
      <c r="G82" s="5" t="inlineStr">
        <is>
          <t>S5-S6</t>
        </is>
      </c>
      <c r="H82" s="5" t="inlineStr"/>
      <c r="I82" s="5" t="inlineStr"/>
      <c r="J82" s="5" t="inlineStr"/>
      <c r="K82" s="5" t="inlineStr"/>
      <c r="L82" s="5" t="inlineStr">
        <is>
          <t>pir.yaml synced from ABSA PIR system; coverage report on real model inputs.</t>
        </is>
      </c>
    </row>
    <row r="83">
      <c r="A83" s="6" t="inlineStr">
        <is>
          <t>Task</t>
        </is>
      </c>
      <c r="B83" s="6" t="inlineStr">
        <is>
          <t>T-0411</t>
        </is>
      </c>
      <c r="C83" s="6" t="inlineStr">
        <is>
          <t>ST-0404</t>
        </is>
      </c>
      <c r="D83" s="6" t="inlineStr">
        <is>
          <t>E04</t>
        </is>
      </c>
      <c r="E83" s="6" t="inlineStr">
        <is>
          <t>PIR feed/API contract session with ABSA</t>
        </is>
      </c>
      <c r="F83" s="6" t="inlineStr">
        <is>
          <t>DE</t>
        </is>
      </c>
      <c r="G83" s="6" t="inlineStr">
        <is>
          <t>S5</t>
        </is>
      </c>
      <c r="H83" s="6" t="n">
        <v>0.5</v>
      </c>
      <c r="I83" s="6" t="inlineStr"/>
      <c r="J83" s="7" t="inlineStr">
        <is>
          <t>ABSA: PIR contract</t>
        </is>
      </c>
      <c r="K83" s="6" t="inlineStr">
        <is>
          <t>Planned</t>
        </is>
      </c>
      <c r="L83" s="6" t="inlineStr"/>
    </row>
    <row r="84">
      <c r="A84" s="6" t="inlineStr">
        <is>
          <t>Task</t>
        </is>
      </c>
      <c r="B84" s="6" t="inlineStr">
        <is>
          <t>T-0412</t>
        </is>
      </c>
      <c r="C84" s="6" t="inlineStr">
        <is>
          <t>ST-0404</t>
        </is>
      </c>
      <c r="D84" s="6" t="inlineStr">
        <is>
          <t>E04</t>
        </is>
      </c>
      <c r="E84" s="6" t="inlineStr">
        <is>
          <t>pir.yaml sync from ABSA PIR system</t>
        </is>
      </c>
      <c r="F84" s="6" t="inlineStr">
        <is>
          <t>DE</t>
        </is>
      </c>
      <c r="G84" s="6" t="inlineStr">
        <is>
          <t>S5</t>
        </is>
      </c>
      <c r="H84" s="6" t="n">
        <v>3</v>
      </c>
      <c r="I84" s="6" t="inlineStr">
        <is>
          <t>T-0411</t>
        </is>
      </c>
      <c r="J84" s="7" t="inlineStr">
        <is>
          <t>ABSA: PIR contract</t>
        </is>
      </c>
      <c r="K84" s="6" t="inlineStr">
        <is>
          <t>Planned</t>
        </is>
      </c>
      <c r="L84" s="6" t="inlineStr"/>
    </row>
    <row r="85">
      <c r="A85" s="6" t="inlineStr">
        <is>
          <t>Task</t>
        </is>
      </c>
      <c r="B85" s="6" t="inlineStr">
        <is>
          <t>T-0413</t>
        </is>
      </c>
      <c r="C85" s="6" t="inlineStr">
        <is>
          <t>ST-0404</t>
        </is>
      </c>
      <c r="D85" s="6" t="inlineStr">
        <is>
          <t>E04</t>
        </is>
      </c>
      <c r="E85" s="6" t="inlineStr">
        <is>
          <t>PIR coverage report on real model inputs</t>
        </is>
      </c>
      <c r="F85" s="6" t="inlineStr">
        <is>
          <t>DE</t>
        </is>
      </c>
      <c r="G85" s="6" t="inlineStr">
        <is>
          <t>S6</t>
        </is>
      </c>
      <c r="H85" s="6" t="n">
        <v>1</v>
      </c>
      <c r="I85" s="6" t="inlineStr">
        <is>
          <t>T-0412</t>
        </is>
      </c>
      <c r="J85" s="6" t="inlineStr"/>
      <c r="K85" s="6" t="inlineStr">
        <is>
          <t>Planned</t>
        </is>
      </c>
      <c r="L85" s="6" t="inlineStr"/>
    </row>
    <row r="86">
      <c r="A86" s="5" t="inlineStr">
        <is>
          <t>Story</t>
        </is>
      </c>
      <c r="B86" s="5" t="inlineStr">
        <is>
          <t>ST-0405</t>
        </is>
      </c>
      <c r="C86" s="5" t="inlineStr">
        <is>
          <t>E04</t>
        </is>
      </c>
      <c r="D86" s="5" t="inlineStr">
        <is>
          <t>E04</t>
        </is>
      </c>
      <c r="E86" s="5" t="inlineStr">
        <is>
          <t>Group 1 data operations</t>
        </is>
      </c>
      <c r="F86" s="5" t="inlineStr"/>
      <c r="G86" s="5" t="inlineStr">
        <is>
          <t>S6-S7</t>
        </is>
      </c>
      <c r="H86" s="5" t="inlineStr"/>
      <c r="I86" s="5" t="inlineStr"/>
      <c r="J86" s="5" t="inlineStr"/>
      <c r="K86" s="5" t="inlineStr"/>
      <c r="L86" s="5" t="inlineStr">
        <is>
          <t>Dress-rehearsal data prepared; DQ tuned on first production runs.</t>
        </is>
      </c>
    </row>
    <row r="87">
      <c r="A87" s="6" t="inlineStr">
        <is>
          <t>Task</t>
        </is>
      </c>
      <c r="B87" s="6" t="inlineStr">
        <is>
          <t>T-0414</t>
        </is>
      </c>
      <c r="C87" s="6" t="inlineStr">
        <is>
          <t>ST-0405</t>
        </is>
      </c>
      <c r="D87" s="6" t="inlineStr">
        <is>
          <t>E04</t>
        </is>
      </c>
      <c r="E87" s="6" t="inlineStr">
        <is>
          <t>Dress-rehearsal data preparation (models 1-2)</t>
        </is>
      </c>
      <c r="F87" s="6" t="inlineStr">
        <is>
          <t>DE</t>
        </is>
      </c>
      <c r="G87" s="6" t="inlineStr">
        <is>
          <t>S6</t>
        </is>
      </c>
      <c r="H87" s="6" t="n">
        <v>2</v>
      </c>
      <c r="I87" s="6" t="inlineStr">
        <is>
          <t>T-0403</t>
        </is>
      </c>
      <c r="J87" s="6" t="inlineStr"/>
      <c r="K87" s="6" t="inlineStr">
        <is>
          <t>Planned</t>
        </is>
      </c>
      <c r="L87" s="6" t="inlineStr"/>
    </row>
    <row r="88">
      <c r="A88" s="6" t="inlineStr">
        <is>
          <t>Task</t>
        </is>
      </c>
      <c r="B88" s="6" t="inlineStr">
        <is>
          <t>T-0415</t>
        </is>
      </c>
      <c r="C88" s="6" t="inlineStr">
        <is>
          <t>ST-0405</t>
        </is>
      </c>
      <c r="D88" s="6" t="inlineStr">
        <is>
          <t>E04</t>
        </is>
      </c>
      <c r="E88" s="6" t="inlineStr">
        <is>
          <t>DQ on first production runs + threshold tuning</t>
        </is>
      </c>
      <c r="F88" s="6" t="inlineStr">
        <is>
          <t>DE</t>
        </is>
      </c>
      <c r="G88" s="6" t="inlineStr">
        <is>
          <t>S7</t>
        </is>
      </c>
      <c r="H88" s="6" t="n">
        <v>2</v>
      </c>
      <c r="I88" s="6" t="inlineStr">
        <is>
          <t>T-0410</t>
        </is>
      </c>
      <c r="J88" s="6" t="inlineStr"/>
      <c r="K88" s="6" t="inlineStr">
        <is>
          <t>Planned</t>
        </is>
      </c>
      <c r="L88" s="6" t="inlineStr"/>
    </row>
    <row r="89">
      <c r="A89" s="4" t="inlineStr">
        <is>
          <t>EPIC</t>
        </is>
      </c>
      <c r="B89" s="4" t="inlineStr">
        <is>
          <t>E05</t>
        </is>
      </c>
      <c r="C89" s="4" t="inlineStr"/>
      <c r="D89" s="4" t="inlineStr">
        <is>
          <t>E05</t>
        </is>
      </c>
      <c r="E89" s="4" t="inlineStr">
        <is>
          <t>SAS Model Intake &amp; Optimization — SAS standards, real SAS linting, models 1-2 optimized + packaged, reconciliation tooling.</t>
        </is>
      </c>
      <c r="F89" s="4" t="inlineStr">
        <is>
          <t>SAS</t>
        </is>
      </c>
      <c r="G89" s="4" t="inlineStr">
        <is>
          <t>S1-S6</t>
        </is>
      </c>
      <c r="H89" s="4" t="inlineStr"/>
      <c r="I89" s="4" t="inlineStr"/>
      <c r="J89" s="4" t="inlineStr"/>
      <c r="K89" s="4" t="inlineStr"/>
      <c r="L89" s="4" t="inlineStr"/>
    </row>
    <row r="90">
      <c r="A90" s="5" t="inlineStr">
        <is>
          <t>Story</t>
        </is>
      </c>
      <c r="B90" s="5" t="inlineStr">
        <is>
          <t>ST-0501</t>
        </is>
      </c>
      <c r="C90" s="5" t="inlineStr">
        <is>
          <t>E05</t>
        </is>
      </c>
      <c r="D90" s="5" t="inlineStr">
        <is>
          <t>E05</t>
        </is>
      </c>
      <c r="E90" s="5" t="inlineStr">
        <is>
          <t>SAS standards &amp; tooling</t>
        </is>
      </c>
      <c r="F90" s="5" t="inlineStr"/>
      <c r="G90" s="5" t="inlineStr">
        <is>
          <t>S1-S3</t>
        </is>
      </c>
      <c r="H90" s="5" t="inlineStr"/>
      <c r="I90" s="5" t="inlineStr"/>
      <c r="J90" s="5" t="inlineStr"/>
      <c r="K90" s="5" t="inlineStr"/>
      <c r="L90" s="5" t="inlineStr">
        <is>
          <t>Prod-readiness standards published; SAS runtime obtained; static_sas upgraded to real lint.</t>
        </is>
      </c>
    </row>
    <row r="91">
      <c r="A91" s="6" t="inlineStr">
        <is>
          <t>Task</t>
        </is>
      </c>
      <c r="B91" s="6" t="inlineStr">
        <is>
          <t>T-0501</t>
        </is>
      </c>
      <c r="C91" s="6" t="inlineStr">
        <is>
          <t>ST-0501</t>
        </is>
      </c>
      <c r="D91" s="6" t="inlineStr">
        <is>
          <t>E05</t>
        </is>
      </c>
      <c r="E91" s="6" t="inlineStr">
        <is>
          <t>Study credit-risk-pd package + static_sas checker internals</t>
        </is>
      </c>
      <c r="F91" s="6" t="inlineStr">
        <is>
          <t>SAS</t>
        </is>
      </c>
      <c r="G91" s="6" t="inlineStr">
        <is>
          <t>S1</t>
        </is>
      </c>
      <c r="H91" s="6" t="n">
        <v>2</v>
      </c>
      <c r="I91" s="6" t="inlineStr"/>
      <c r="J91" s="6" t="inlineStr"/>
      <c r="K91" s="6" t="inlineStr">
        <is>
          <t>Planned</t>
        </is>
      </c>
      <c r="L91" s="6" t="inlineStr"/>
    </row>
    <row r="92">
      <c r="A92" s="6" t="inlineStr">
        <is>
          <t>Task</t>
        </is>
      </c>
      <c r="B92" s="6" t="inlineStr">
        <is>
          <t>T-0502</t>
        </is>
      </c>
      <c r="C92" s="6" t="inlineStr">
        <is>
          <t>ST-0501</t>
        </is>
      </c>
      <c r="D92" s="6" t="inlineStr">
        <is>
          <t>E05</t>
        </is>
      </c>
      <c r="E92" s="6" t="inlineStr">
        <is>
          <t>SAS prod-readiness standards doc (naming, macros, error handling, logging)</t>
        </is>
      </c>
      <c r="F92" s="6" t="inlineStr">
        <is>
          <t>SAS</t>
        </is>
      </c>
      <c r="G92" s="6" t="inlineStr">
        <is>
          <t>S1</t>
        </is>
      </c>
      <c r="H92" s="6" t="n">
        <v>2</v>
      </c>
      <c r="I92" s="6" t="inlineStr">
        <is>
          <t>T-0501</t>
        </is>
      </c>
      <c r="J92" s="6" t="inlineStr"/>
      <c r="K92" s="6" t="inlineStr">
        <is>
          <t>Planned</t>
        </is>
      </c>
      <c r="L92" s="6" t="inlineStr"/>
    </row>
    <row r="93">
      <c r="A93" s="6" t="inlineStr">
        <is>
          <t>Task</t>
        </is>
      </c>
      <c r="B93" s="6" t="inlineStr">
        <is>
          <t>T-0503</t>
        </is>
      </c>
      <c r="C93" s="6" t="inlineStr">
        <is>
          <t>ST-0501</t>
        </is>
      </c>
      <c r="D93" s="6" t="inlineStr">
        <is>
          <t>E05</t>
        </is>
      </c>
      <c r="E93" s="6" t="inlineStr">
        <is>
          <t>Obtain SAS runtime image + license terms from ABSA</t>
        </is>
      </c>
      <c r="F93" s="6" t="inlineStr">
        <is>
          <t>SAS</t>
        </is>
      </c>
      <c r="G93" s="6" t="inlineStr">
        <is>
          <t>S2</t>
        </is>
      </c>
      <c r="H93" s="6" t="n">
        <v>0.5</v>
      </c>
      <c r="I93" s="6" t="inlineStr"/>
      <c r="J93" s="7" t="inlineStr">
        <is>
          <t>ABSA: SAS runtime</t>
        </is>
      </c>
      <c r="K93" s="6" t="inlineStr">
        <is>
          <t>Planned</t>
        </is>
      </c>
      <c r="L93" s="6" t="inlineStr"/>
    </row>
    <row r="94">
      <c r="A94" s="6" t="inlineStr">
        <is>
          <t>Task</t>
        </is>
      </c>
      <c r="B94" s="6" t="inlineStr">
        <is>
          <t>T-0504</t>
        </is>
      </c>
      <c r="C94" s="6" t="inlineStr">
        <is>
          <t>ST-0501</t>
        </is>
      </c>
      <c r="D94" s="6" t="inlineStr">
        <is>
          <t>E05</t>
        </is>
      </c>
      <c r="E94" s="6" t="inlineStr">
        <is>
          <t>Upgrade static_sas checker from structural to real lint</t>
        </is>
      </c>
      <c r="F94" s="6" t="inlineStr">
        <is>
          <t>SAS</t>
        </is>
      </c>
      <c r="G94" s="6" t="inlineStr">
        <is>
          <t>S3</t>
        </is>
      </c>
      <c r="H94" s="6" t="n">
        <v>3</v>
      </c>
      <c r="I94" s="6" t="inlineStr">
        <is>
          <t>T-0503</t>
        </is>
      </c>
      <c r="J94" s="7" t="inlineStr">
        <is>
          <t>ABSA: SAS runtime</t>
        </is>
      </c>
      <c r="K94" s="6" t="inlineStr">
        <is>
          <t>Planned</t>
        </is>
      </c>
      <c r="L94" s="6" t="inlineStr">
        <is>
          <t>Pairs with TL on checker plumbing</t>
        </is>
      </c>
    </row>
    <row r="95">
      <c r="A95" s="5" t="inlineStr">
        <is>
          <t>Story</t>
        </is>
      </c>
      <c r="B95" s="5" t="inlineStr">
        <is>
          <t>ST-0502</t>
        </is>
      </c>
      <c r="C95" s="5" t="inlineStr">
        <is>
          <t>E05</t>
        </is>
      </c>
      <c r="D95" s="5" t="inlineStr">
        <is>
          <t>E05</t>
        </is>
      </c>
      <c r="E95" s="5" t="inlineStr">
        <is>
          <t>Model 1 optimization</t>
        </is>
      </c>
      <c r="F95" s="5" t="inlineStr"/>
      <c r="G95" s="5" t="inlineStr">
        <is>
          <t>S2-S4</t>
        </is>
      </c>
      <c r="H95" s="5" t="inlineStr"/>
      <c r="I95" s="5" t="inlineStr"/>
      <c r="J95" s="5" t="inlineStr"/>
      <c r="K95" s="5" t="inlineStr"/>
      <c r="L95" s="5" t="inlineStr">
        <is>
          <t>Optimized code reconciles vs ABSA benchmarks; packaged per ADR-0010; code-intake green.</t>
        </is>
      </c>
    </row>
    <row r="96">
      <c r="A96" s="6" t="inlineStr">
        <is>
          <t>Task</t>
        </is>
      </c>
      <c r="B96" s="6" t="inlineStr">
        <is>
          <t>T-0505</t>
        </is>
      </c>
      <c r="C96" s="6" t="inlineStr">
        <is>
          <t>ST-0502</t>
        </is>
      </c>
      <c r="D96" s="6" t="inlineStr">
        <is>
          <t>E05</t>
        </is>
      </c>
      <c r="E96" s="6" t="inlineStr">
        <is>
          <t>Model-1 dev-code review vs benchmark spec</t>
        </is>
      </c>
      <c r="F96" s="6" t="inlineStr">
        <is>
          <t>SAS</t>
        </is>
      </c>
      <c r="G96" s="6" t="inlineStr">
        <is>
          <t>S2</t>
        </is>
      </c>
      <c r="H96" s="6" t="n">
        <v>2</v>
      </c>
      <c r="I96" s="6" t="inlineStr">
        <is>
          <t>T-0502</t>
        </is>
      </c>
      <c r="J96" s="7" t="inlineStr">
        <is>
          <t>ABSA: model docs</t>
        </is>
      </c>
      <c r="K96" s="6" t="inlineStr">
        <is>
          <t>Planned</t>
        </is>
      </c>
      <c r="L96" s="6" t="inlineStr"/>
    </row>
    <row r="97">
      <c r="A97" s="6" t="inlineStr">
        <is>
          <t>Task</t>
        </is>
      </c>
      <c r="B97" s="6" t="inlineStr">
        <is>
          <t>T-0506</t>
        </is>
      </c>
      <c r="C97" s="6" t="inlineStr">
        <is>
          <t>ST-0502</t>
        </is>
      </c>
      <c r="D97" s="6" t="inlineStr">
        <is>
          <t>E05</t>
        </is>
      </c>
      <c r="E97" s="6" t="inlineStr">
        <is>
          <t>Benchmark spec gap notes; clarify with ABSA model owner</t>
        </is>
      </c>
      <c r="F97" s="6" t="inlineStr">
        <is>
          <t>SAS</t>
        </is>
      </c>
      <c r="G97" s="6" t="inlineStr">
        <is>
          <t>S2</t>
        </is>
      </c>
      <c r="H97" s="6" t="n">
        <v>1</v>
      </c>
      <c r="I97" s="6" t="inlineStr">
        <is>
          <t>T-0505</t>
        </is>
      </c>
      <c r="J97" s="6" t="inlineStr"/>
      <c r="K97" s="6" t="inlineStr">
        <is>
          <t>Planned</t>
        </is>
      </c>
      <c r="L97" s="6" t="inlineStr"/>
    </row>
    <row r="98">
      <c r="A98" s="6" t="inlineStr">
        <is>
          <t>Task</t>
        </is>
      </c>
      <c r="B98" s="6" t="inlineStr">
        <is>
          <t>T-0507</t>
        </is>
      </c>
      <c r="C98" s="6" t="inlineStr">
        <is>
          <t>ST-0502</t>
        </is>
      </c>
      <c r="D98" s="6" t="inlineStr">
        <is>
          <t>E05</t>
        </is>
      </c>
      <c r="E98" s="6" t="inlineStr">
        <is>
          <t>Optimize + standardize model-1 scoring code</t>
        </is>
      </c>
      <c r="F98" s="6" t="inlineStr">
        <is>
          <t>SAS</t>
        </is>
      </c>
      <c r="G98" s="6" t="inlineStr">
        <is>
          <t>S3</t>
        </is>
      </c>
      <c r="H98" s="6" t="n">
        <v>4</v>
      </c>
      <c r="I98" s="6" t="inlineStr">
        <is>
          <t>T-0505</t>
        </is>
      </c>
      <c r="J98" s="6" t="inlineStr"/>
      <c r="K98" s="6" t="inlineStr">
        <is>
          <t>Planned</t>
        </is>
      </c>
      <c r="L98" s="6" t="inlineStr"/>
    </row>
    <row r="99">
      <c r="A99" s="6" t="inlineStr">
        <is>
          <t>Task</t>
        </is>
      </c>
      <c r="B99" s="6" t="inlineStr">
        <is>
          <t>T-0508</t>
        </is>
      </c>
      <c r="C99" s="6" t="inlineStr">
        <is>
          <t>ST-0502</t>
        </is>
      </c>
      <c r="D99" s="6" t="inlineStr">
        <is>
          <t>E05</t>
        </is>
      </c>
      <c r="E99" s="6" t="inlineStr">
        <is>
          <t>Regression harness vs ABSA benchmark outputs</t>
        </is>
      </c>
      <c r="F99" s="6" t="inlineStr">
        <is>
          <t>SAS</t>
        </is>
      </c>
      <c r="G99" s="6" t="inlineStr">
        <is>
          <t>S4</t>
        </is>
      </c>
      <c r="H99" s="6" t="n">
        <v>2</v>
      </c>
      <c r="I99" s="6" t="inlineStr">
        <is>
          <t>T-0507</t>
        </is>
      </c>
      <c r="J99" s="6" t="inlineStr"/>
      <c r="K99" s="6" t="inlineStr">
        <is>
          <t>Planned</t>
        </is>
      </c>
      <c r="L99" s="6" t="inlineStr"/>
    </row>
    <row r="100">
      <c r="A100" s="6" t="inlineStr">
        <is>
          <t>Task</t>
        </is>
      </c>
      <c r="B100" s="6" t="inlineStr">
        <is>
          <t>T-0509</t>
        </is>
      </c>
      <c r="C100" s="6" t="inlineStr">
        <is>
          <t>ST-0502</t>
        </is>
      </c>
      <c r="D100" s="6" t="inlineStr">
        <is>
          <t>E05</t>
        </is>
      </c>
      <c r="E100" s="6" t="inlineStr">
        <is>
          <t>Package model-1 per ADR-0010; code-intake validate green</t>
        </is>
      </c>
      <c r="F100" s="6" t="inlineStr">
        <is>
          <t>SAS</t>
        </is>
      </c>
      <c r="G100" s="6" t="inlineStr">
        <is>
          <t>S4</t>
        </is>
      </c>
      <c r="H100" s="6" t="n">
        <v>1</v>
      </c>
      <c r="I100" s="6" t="inlineStr">
        <is>
          <t>T-0508</t>
        </is>
      </c>
      <c r="J100" s="6" t="inlineStr"/>
      <c r="K100" s="6" t="inlineStr">
        <is>
          <t>Planned</t>
        </is>
      </c>
      <c r="L100" s="6" t="inlineStr"/>
    </row>
    <row r="101">
      <c r="A101" s="5" t="inlineStr">
        <is>
          <t>Story</t>
        </is>
      </c>
      <c r="B101" s="5" t="inlineStr">
        <is>
          <t>ST-0503</t>
        </is>
      </c>
      <c r="C101" s="5" t="inlineStr">
        <is>
          <t>E05</t>
        </is>
      </c>
      <c r="D101" s="5" t="inlineStr">
        <is>
          <t>E05</t>
        </is>
      </c>
      <c r="E101" s="5" t="inlineStr">
        <is>
          <t>Model 2 optimization</t>
        </is>
      </c>
      <c r="F101" s="5" t="inlineStr"/>
      <c r="G101" s="5" t="inlineStr">
        <is>
          <t>S4-S6</t>
        </is>
      </c>
      <c r="H101" s="5" t="inlineStr"/>
      <c r="I101" s="5" t="inlineStr"/>
      <c r="J101" s="5" t="inlineStr"/>
      <c r="K101" s="5" t="inlineStr"/>
      <c r="L101" s="5" t="inlineStr">
        <is>
          <t>Same exit criteria as model 1.</t>
        </is>
      </c>
    </row>
    <row r="102">
      <c r="A102" s="6" t="inlineStr">
        <is>
          <t>Task</t>
        </is>
      </c>
      <c r="B102" s="6" t="inlineStr">
        <is>
          <t>T-0510</t>
        </is>
      </c>
      <c r="C102" s="6" t="inlineStr">
        <is>
          <t>ST-0503</t>
        </is>
      </c>
      <c r="D102" s="6" t="inlineStr">
        <is>
          <t>E05</t>
        </is>
      </c>
      <c r="E102" s="6" t="inlineStr">
        <is>
          <t>Model-2 dev-code review vs benchmark spec</t>
        </is>
      </c>
      <c r="F102" s="6" t="inlineStr">
        <is>
          <t>SAS</t>
        </is>
      </c>
      <c r="G102" s="6" t="inlineStr">
        <is>
          <t>S4</t>
        </is>
      </c>
      <c r="H102" s="6" t="n">
        <v>2</v>
      </c>
      <c r="I102" s="6" t="inlineStr">
        <is>
          <t>T-0502</t>
        </is>
      </c>
      <c r="J102" s="6" t="inlineStr"/>
      <c r="K102" s="6" t="inlineStr">
        <is>
          <t>Planned</t>
        </is>
      </c>
      <c r="L102" s="6" t="inlineStr"/>
    </row>
    <row r="103">
      <c r="A103" s="6" t="inlineStr">
        <is>
          <t>Task</t>
        </is>
      </c>
      <c r="B103" s="6" t="inlineStr">
        <is>
          <t>T-0511</t>
        </is>
      </c>
      <c r="C103" s="6" t="inlineStr">
        <is>
          <t>ST-0503</t>
        </is>
      </c>
      <c r="D103" s="6" t="inlineStr">
        <is>
          <t>E05</t>
        </is>
      </c>
      <c r="E103" s="6" t="inlineStr">
        <is>
          <t>Optimize + standardize model-2 scoring code</t>
        </is>
      </c>
      <c r="F103" s="6" t="inlineStr">
        <is>
          <t>SAS</t>
        </is>
      </c>
      <c r="G103" s="6" t="inlineStr">
        <is>
          <t>S5</t>
        </is>
      </c>
      <c r="H103" s="6" t="n">
        <v>4</v>
      </c>
      <c r="I103" s="6" t="inlineStr">
        <is>
          <t>T-0510</t>
        </is>
      </c>
      <c r="J103" s="6" t="inlineStr"/>
      <c r="K103" s="6" t="inlineStr">
        <is>
          <t>Planned</t>
        </is>
      </c>
      <c r="L103" s="6" t="inlineStr"/>
    </row>
    <row r="104">
      <c r="A104" s="6" t="inlineStr">
        <is>
          <t>Task</t>
        </is>
      </c>
      <c r="B104" s="6" t="inlineStr">
        <is>
          <t>T-0512</t>
        </is>
      </c>
      <c r="C104" s="6" t="inlineStr">
        <is>
          <t>ST-0503</t>
        </is>
      </c>
      <c r="D104" s="6" t="inlineStr">
        <is>
          <t>E05</t>
        </is>
      </c>
      <c r="E104" s="6" t="inlineStr">
        <is>
          <t>Model-2 regression harness</t>
        </is>
      </c>
      <c r="F104" s="6" t="inlineStr">
        <is>
          <t>SAS</t>
        </is>
      </c>
      <c r="G104" s="6" t="inlineStr">
        <is>
          <t>S5</t>
        </is>
      </c>
      <c r="H104" s="6" t="n">
        <v>2</v>
      </c>
      <c r="I104" s="6" t="inlineStr">
        <is>
          <t>T-0511</t>
        </is>
      </c>
      <c r="J104" s="6" t="inlineStr"/>
      <c r="K104" s="6" t="inlineStr">
        <is>
          <t>Planned</t>
        </is>
      </c>
      <c r="L104" s="6" t="inlineStr"/>
    </row>
    <row r="105">
      <c r="A105" s="6" t="inlineStr">
        <is>
          <t>Task</t>
        </is>
      </c>
      <c r="B105" s="6" t="inlineStr">
        <is>
          <t>T-0513</t>
        </is>
      </c>
      <c r="C105" s="6" t="inlineStr">
        <is>
          <t>ST-0503</t>
        </is>
      </c>
      <c r="D105" s="6" t="inlineStr">
        <is>
          <t>E05</t>
        </is>
      </c>
      <c r="E105" s="6" t="inlineStr">
        <is>
          <t>Package model-2 + code-intake green</t>
        </is>
      </c>
      <c r="F105" s="6" t="inlineStr">
        <is>
          <t>SAS</t>
        </is>
      </c>
      <c r="G105" s="6" t="inlineStr">
        <is>
          <t>S6</t>
        </is>
      </c>
      <c r="H105" s="6" t="n">
        <v>1</v>
      </c>
      <c r="I105" s="6" t="inlineStr">
        <is>
          <t>T-0512</t>
        </is>
      </c>
      <c r="J105" s="6" t="inlineStr"/>
      <c r="K105" s="6" t="inlineStr">
        <is>
          <t>Planned</t>
        </is>
      </c>
      <c r="L105" s="6" t="inlineStr"/>
    </row>
    <row r="106">
      <c r="A106" s="5" t="inlineStr">
        <is>
          <t>Story</t>
        </is>
      </c>
      <c r="B106" s="5" t="inlineStr">
        <is>
          <t>ST-0504</t>
        </is>
      </c>
      <c r="C106" s="5" t="inlineStr">
        <is>
          <t>E05</t>
        </is>
      </c>
      <c r="D106" s="5" t="inlineStr">
        <is>
          <t>E05</t>
        </is>
      </c>
      <c r="E106" s="5" t="inlineStr">
        <is>
          <t>Reconciliation framework</t>
        </is>
      </c>
      <c r="F106" s="5" t="inlineStr"/>
      <c r="G106" s="5" t="inlineStr">
        <is>
          <t>S4-S6</t>
        </is>
      </c>
      <c r="H106" s="5" t="inlineStr"/>
      <c r="I106" s="5" t="inlineStr"/>
      <c r="J106" s="5" t="inlineStr"/>
      <c r="K106" s="5" t="inlineStr"/>
      <c r="L106" s="5" t="inlineStr">
        <is>
          <t>Diff tool with tolerance bands + per-variable deltas; PIR-ready report template.</t>
        </is>
      </c>
    </row>
    <row r="107">
      <c r="A107" s="6" t="inlineStr">
        <is>
          <t>Task</t>
        </is>
      </c>
      <c r="B107" s="6" t="inlineStr">
        <is>
          <t>T-0514</t>
        </is>
      </c>
      <c r="C107" s="6" t="inlineStr">
        <is>
          <t>ST-0504</t>
        </is>
      </c>
      <c r="D107" s="6" t="inlineStr">
        <is>
          <t>E05</t>
        </is>
      </c>
      <c r="E107" s="6" t="inlineStr">
        <is>
          <t>Output diff tool: tolerance bands, per-variable deltas</t>
        </is>
      </c>
      <c r="F107" s="6" t="inlineStr">
        <is>
          <t>SAS</t>
        </is>
      </c>
      <c r="G107" s="6" t="inlineStr">
        <is>
          <t>S4</t>
        </is>
      </c>
      <c r="H107" s="6" t="n">
        <v>2</v>
      </c>
      <c r="I107" s="6" t="inlineStr">
        <is>
          <t>T-0508</t>
        </is>
      </c>
      <c r="J107" s="6" t="inlineStr"/>
      <c r="K107" s="6" t="inlineStr">
        <is>
          <t>Planned</t>
        </is>
      </c>
      <c r="L107" s="6" t="inlineStr">
        <is>
          <t>Co-design with DE</t>
        </is>
      </c>
    </row>
    <row r="108">
      <c r="A108" s="6" t="inlineStr">
        <is>
          <t>Task</t>
        </is>
      </c>
      <c r="B108" s="6" t="inlineStr">
        <is>
          <t>T-0515</t>
        </is>
      </c>
      <c r="C108" s="6" t="inlineStr">
        <is>
          <t>ST-0504</t>
        </is>
      </c>
      <c r="D108" s="6" t="inlineStr">
        <is>
          <t>E05</t>
        </is>
      </c>
      <c r="E108" s="6" t="inlineStr">
        <is>
          <t>Reconciliation report template (PIR-ready)</t>
        </is>
      </c>
      <c r="F108" s="6" t="inlineStr">
        <is>
          <t>SAS</t>
        </is>
      </c>
      <c r="G108" s="6" t="inlineStr">
        <is>
          <t>S6</t>
        </is>
      </c>
      <c r="H108" s="6" t="n">
        <v>1</v>
      </c>
      <c r="I108" s="6" t="inlineStr">
        <is>
          <t>T-0514</t>
        </is>
      </c>
      <c r="J108" s="6" t="inlineStr"/>
      <c r="K108" s="6" t="inlineStr">
        <is>
          <t>Planned</t>
        </is>
      </c>
      <c r="L108" s="6" t="inlineStr"/>
    </row>
    <row r="109">
      <c r="A109" s="4" t="inlineStr">
        <is>
          <t>EPIC</t>
        </is>
      </c>
      <c r="B109" s="4" t="inlineStr">
        <is>
          <t>E06</t>
        </is>
      </c>
      <c r="C109" s="4" t="inlineStr"/>
      <c r="D109" s="4" t="inlineStr">
        <is>
          <t>E06</t>
        </is>
      </c>
      <c r="E109" s="4" t="inlineStr">
        <is>
          <t>ML Compute &amp; Pipeline Execution — Compute platform decision (D04), real Step Functions execution, schedules, perf test.</t>
        </is>
      </c>
      <c r="F109" s="4" t="inlineStr">
        <is>
          <t>AWS</t>
        </is>
      </c>
      <c r="G109" s="4" t="inlineStr">
        <is>
          <t>S3-S6</t>
        </is>
      </c>
      <c r="H109" s="4" t="inlineStr"/>
      <c r="I109" s="4" t="inlineStr"/>
      <c r="J109" s="4" t="inlineStr"/>
      <c r="K109" s="4" t="inlineStr"/>
      <c r="L109" s="4" t="inlineStr"/>
    </row>
    <row r="110">
      <c r="A110" s="5" t="inlineStr">
        <is>
          <t>Story</t>
        </is>
      </c>
      <c r="B110" s="5" t="inlineStr">
        <is>
          <t>ST-0601</t>
        </is>
      </c>
      <c r="C110" s="5" t="inlineStr">
        <is>
          <t>E06</t>
        </is>
      </c>
      <c r="D110" s="5" t="inlineStr">
        <is>
          <t>E06</t>
        </is>
      </c>
      <c r="E110" s="5" t="inlineStr">
        <is>
          <t>Compute platform decision (D04)</t>
        </is>
      </c>
      <c r="F110" s="5" t="inlineStr"/>
      <c r="G110" s="5" t="inlineStr">
        <is>
          <t>S3</t>
        </is>
      </c>
      <c r="H110" s="5" t="inlineStr"/>
      <c r="I110" s="5" t="inlineStr"/>
      <c r="J110" s="5" t="inlineStr"/>
      <c r="K110" s="5" t="inlineStr"/>
      <c r="L110" s="5" t="inlineStr">
        <is>
          <t>ADR records SFN+Lambda vs SageMaker choice with ABSA architecture board.</t>
        </is>
      </c>
    </row>
    <row r="111">
      <c r="A111" s="6" t="inlineStr">
        <is>
          <t>Task</t>
        </is>
      </c>
      <c r="B111" s="6" t="inlineStr">
        <is>
          <t>T-0601</t>
        </is>
      </c>
      <c r="C111" s="6" t="inlineStr">
        <is>
          <t>ST-0601</t>
        </is>
      </c>
      <c r="D111" s="6" t="inlineStr">
        <is>
          <t>E06</t>
        </is>
      </c>
      <c r="E111" s="6" t="inlineStr">
        <is>
          <t>ADR: D04 compute choice (SFN+Lambda vs SageMaker) w/ architecture board</t>
        </is>
      </c>
      <c r="F111" s="6" t="inlineStr">
        <is>
          <t>AWS</t>
        </is>
      </c>
      <c r="G111" s="6" t="inlineStr">
        <is>
          <t>S3</t>
        </is>
      </c>
      <c r="H111" s="6" t="n">
        <v>1</v>
      </c>
      <c r="I111" s="6" t="inlineStr"/>
      <c r="J111" s="6" t="inlineStr"/>
      <c r="K111" s="6" t="inlineStr">
        <is>
          <t>Planned</t>
        </is>
      </c>
      <c r="L111" s="6" t="inlineStr">
        <is>
          <t>Gates compute build in S5</t>
        </is>
      </c>
    </row>
    <row r="112">
      <c r="A112" s="5" t="inlineStr">
        <is>
          <t>Story</t>
        </is>
      </c>
      <c r="B112" s="5" t="inlineStr">
        <is>
          <t>ST-0602</t>
        </is>
      </c>
      <c r="C112" s="5" t="inlineStr">
        <is>
          <t>E06</t>
        </is>
      </c>
      <c r="D112" s="5" t="inlineStr">
        <is>
          <t>E06</t>
        </is>
      </c>
      <c r="E112" s="5" t="inlineStr">
        <is>
          <t>Step Functions runtime execution</t>
        </is>
      </c>
      <c r="F112" s="5" t="inlineStr"/>
      <c r="G112" s="5" t="inlineStr">
        <is>
          <t>S5-S6</t>
        </is>
      </c>
      <c r="H112" s="5" t="inlineStr"/>
      <c r="I112" s="5" t="inlineStr"/>
      <c r="J112" s="5" t="inlineStr"/>
      <c r="K112" s="5" t="inlineStr"/>
      <c r="L112" s="5" t="inlineStr">
        <is>
          <t>Model-1 ASL executes on real AWS in dev; compute layer built; EventBridge schedules set.</t>
        </is>
      </c>
    </row>
    <row r="113">
      <c r="A113" s="6" t="inlineStr">
        <is>
          <t>Task</t>
        </is>
      </c>
      <c r="B113" s="6" t="inlineStr">
        <is>
          <t>T-0602</t>
        </is>
      </c>
      <c r="C113" s="6" t="inlineStr">
        <is>
          <t>ST-0602</t>
        </is>
      </c>
      <c r="D113" s="6" t="inlineStr">
        <is>
          <t>E06</t>
        </is>
      </c>
      <c r="E113" s="6" t="inlineStr">
        <is>
          <t>Deploy real ASL standard-batch for model-1 (dev)</t>
        </is>
      </c>
      <c r="F113" s="6" t="inlineStr">
        <is>
          <t>AWS</t>
        </is>
      </c>
      <c r="G113" s="6" t="inlineStr">
        <is>
          <t>S5</t>
        </is>
      </c>
      <c r="H113" s="6" t="n">
        <v>3</v>
      </c>
      <c r="I113" s="6" t="inlineStr">
        <is>
          <t>T-0601,T-0509</t>
        </is>
      </c>
      <c r="J113" s="6" t="inlineStr"/>
      <c r="K113" s="6" t="inlineStr">
        <is>
          <t>Planned</t>
        </is>
      </c>
      <c r="L113" s="6" t="inlineStr"/>
    </row>
    <row r="114">
      <c r="A114" s="6" t="inlineStr">
        <is>
          <t>Task</t>
        </is>
      </c>
      <c r="B114" s="6" t="inlineStr">
        <is>
          <t>T-0603</t>
        </is>
      </c>
      <c r="C114" s="6" t="inlineStr">
        <is>
          <t>ST-0602</t>
        </is>
      </c>
      <c r="D114" s="6" t="inlineStr">
        <is>
          <t>E06</t>
        </is>
      </c>
      <c r="E114" s="6" t="inlineStr">
        <is>
          <t>Build compute layer (Lambda container / SM Processing per D04)</t>
        </is>
      </c>
      <c r="F114" s="6" t="inlineStr">
        <is>
          <t>AWS</t>
        </is>
      </c>
      <c r="G114" s="6" t="inlineStr">
        <is>
          <t>S5</t>
        </is>
      </c>
      <c r="H114" s="6" t="n">
        <v>4</v>
      </c>
      <c r="I114" s="6" t="inlineStr">
        <is>
          <t>T-0601</t>
        </is>
      </c>
      <c r="J114" s="6" t="inlineStr"/>
      <c r="K114" s="6" t="inlineStr">
        <is>
          <t>Planned</t>
        </is>
      </c>
      <c r="L114" s="6" t="inlineStr"/>
    </row>
    <row r="115">
      <c r="A115" s="6" t="inlineStr">
        <is>
          <t>Task</t>
        </is>
      </c>
      <c r="B115" s="6" t="inlineStr">
        <is>
          <t>T-0604</t>
        </is>
      </c>
      <c r="C115" s="6" t="inlineStr">
        <is>
          <t>ST-0602</t>
        </is>
      </c>
      <c r="D115" s="6" t="inlineStr">
        <is>
          <t>E06</t>
        </is>
      </c>
      <c r="E115" s="6" t="inlineStr">
        <is>
          <t>EventBridge schedules per model cadence</t>
        </is>
      </c>
      <c r="F115" s="6" t="inlineStr">
        <is>
          <t>AWS</t>
        </is>
      </c>
      <c r="G115" s="6" t="inlineStr">
        <is>
          <t>S6</t>
        </is>
      </c>
      <c r="H115" s="6" t="n">
        <v>1</v>
      </c>
      <c r="I115" s="6" t="inlineStr">
        <is>
          <t>T-0602</t>
        </is>
      </c>
      <c r="J115" s="6" t="inlineStr"/>
      <c r="K115" s="6" t="inlineStr">
        <is>
          <t>Planned</t>
        </is>
      </c>
      <c r="L115" s="6" t="inlineStr"/>
    </row>
    <row r="116">
      <c r="A116" s="5" t="inlineStr">
        <is>
          <t>Story</t>
        </is>
      </c>
      <c r="B116" s="5" t="inlineStr">
        <is>
          <t>ST-0603</t>
        </is>
      </c>
      <c r="C116" s="5" t="inlineStr">
        <is>
          <t>E06</t>
        </is>
      </c>
      <c r="D116" s="5" t="inlineStr">
        <is>
          <t>E06</t>
        </is>
      </c>
      <c r="E116" s="5" t="inlineStr">
        <is>
          <t>Production pipeline infra + perf</t>
        </is>
      </c>
      <c r="F116" s="5" t="inlineStr"/>
      <c r="G116" s="5" t="inlineStr">
        <is>
          <t>S6</t>
        </is>
      </c>
      <c r="H116" s="5" t="inlineStr"/>
      <c r="I116" s="5" t="inlineStr"/>
      <c r="J116" s="5" t="inlineStr"/>
      <c r="K116" s="5" t="inlineStr"/>
      <c r="L116" s="5" t="inlineStr">
        <is>
          <t>Prod promote done; load test meets SLA bands.</t>
        </is>
      </c>
    </row>
    <row r="117">
      <c r="A117" s="6" t="inlineStr">
        <is>
          <t>Task</t>
        </is>
      </c>
      <c r="B117" s="6" t="inlineStr">
        <is>
          <t>T-0605</t>
        </is>
      </c>
      <c r="C117" s="6" t="inlineStr">
        <is>
          <t>ST-0603</t>
        </is>
      </c>
      <c r="D117" s="6" t="inlineStr">
        <is>
          <t>E06</t>
        </is>
      </c>
      <c r="E117" s="6" t="inlineStr">
        <is>
          <t>Promote pipeline infra to prod</t>
        </is>
      </c>
      <c r="F117" s="6" t="inlineStr">
        <is>
          <t>AWS</t>
        </is>
      </c>
      <c r="G117" s="6" t="inlineStr">
        <is>
          <t>S6</t>
        </is>
      </c>
      <c r="H117" s="6" t="n">
        <v>2</v>
      </c>
      <c r="I117" s="6" t="inlineStr">
        <is>
          <t>T-0602</t>
        </is>
      </c>
      <c r="J117" s="6" t="inlineStr"/>
      <c r="K117" s="6" t="inlineStr">
        <is>
          <t>Planned</t>
        </is>
      </c>
      <c r="L117" s="6" t="inlineStr"/>
    </row>
    <row r="118">
      <c r="A118" s="6" t="inlineStr">
        <is>
          <t>Task</t>
        </is>
      </c>
      <c r="B118" s="6" t="inlineStr">
        <is>
          <t>T-0606</t>
        </is>
      </c>
      <c r="C118" s="6" t="inlineStr">
        <is>
          <t>ST-0603</t>
        </is>
      </c>
      <c r="D118" s="6" t="inlineStr">
        <is>
          <t>E06</t>
        </is>
      </c>
      <c r="E118" s="6" t="inlineStr">
        <is>
          <t>Load/perf test vs SLA bands</t>
        </is>
      </c>
      <c r="F118" s="6" t="inlineStr">
        <is>
          <t>AWS</t>
        </is>
      </c>
      <c r="G118" s="6" t="inlineStr">
        <is>
          <t>S6</t>
        </is>
      </c>
      <c r="H118" s="6" t="n">
        <v>2</v>
      </c>
      <c r="I118" s="6" t="inlineStr">
        <is>
          <t>T-0605</t>
        </is>
      </c>
      <c r="J118" s="6" t="inlineStr"/>
      <c r="K118" s="6" t="inlineStr">
        <is>
          <t>Planned</t>
        </is>
      </c>
      <c r="L118" s="6" t="inlineStr"/>
    </row>
    <row r="119">
      <c r="A119" s="4" t="inlineStr">
        <is>
          <t>EPIC</t>
        </is>
      </c>
      <c r="B119" s="4" t="inlineStr">
        <is>
          <t>E07</t>
        </is>
      </c>
      <c r="C119" s="4" t="inlineStr"/>
      <c r="D119" s="4" t="inlineStr">
        <is>
          <t>E07</t>
        </is>
      </c>
      <c r="E119" s="4" t="inlineStr">
        <is>
          <t>Controls &amp; Change Management — Change workflow (CAB/IVU), rotation cadence, retention, pre-go-live access audit.</t>
        </is>
      </c>
      <c r="F119" s="4" t="inlineStr">
        <is>
          <t>TL</t>
        </is>
      </c>
      <c r="G119" s="4" t="inlineStr">
        <is>
          <t>S4-S7</t>
        </is>
      </c>
      <c r="H119" s="4" t="inlineStr"/>
      <c r="I119" s="4" t="inlineStr"/>
      <c r="J119" s="4" t="inlineStr"/>
      <c r="K119" s="4" t="inlineStr"/>
      <c r="L119" s="4" t="inlineStr"/>
    </row>
    <row r="120">
      <c r="A120" s="5" t="inlineStr">
        <is>
          <t>Story</t>
        </is>
      </c>
      <c r="B120" s="5" t="inlineStr">
        <is>
          <t>ST-0701</t>
        </is>
      </c>
      <c r="C120" s="5" t="inlineStr">
        <is>
          <t>E07</t>
        </is>
      </c>
      <c r="D120" s="5" t="inlineStr">
        <is>
          <t>E07</t>
        </is>
      </c>
      <c r="E120" s="5" t="inlineStr">
        <is>
          <t>Change workflow (D02)</t>
        </is>
      </c>
      <c r="F120" s="5" t="inlineStr"/>
      <c r="G120" s="5" t="inlineStr">
        <is>
          <t>S5</t>
        </is>
      </c>
      <c r="H120" s="5" t="inlineStr"/>
      <c r="I120" s="5" t="inlineStr"/>
      <c r="J120" s="5" t="inlineStr"/>
      <c r="K120" s="5" t="inlineStr"/>
      <c r="L120" s="5" t="inlineStr">
        <is>
          <t>CAB/IVU mapped to registry approve route; production-change path documented.</t>
        </is>
      </c>
    </row>
    <row r="121">
      <c r="A121" s="6" t="inlineStr">
        <is>
          <t>Task</t>
        </is>
      </c>
      <c r="B121" s="6" t="inlineStr">
        <is>
          <t>T-0701</t>
        </is>
      </c>
      <c r="C121" s="6" t="inlineStr">
        <is>
          <t>ST-0701</t>
        </is>
      </c>
      <c r="D121" s="6" t="inlineStr">
        <is>
          <t>E07</t>
        </is>
      </c>
      <c r="E121" s="6" t="inlineStr">
        <is>
          <t>Map CAB/IVU contract onto registry approve/retire routes (D02)</t>
        </is>
      </c>
      <c r="F121" s="6" t="inlineStr">
        <is>
          <t>TL</t>
        </is>
      </c>
      <c r="G121" s="6" t="inlineStr">
        <is>
          <t>S5</t>
        </is>
      </c>
      <c r="H121" s="6" t="n">
        <v>2</v>
      </c>
      <c r="I121" s="6" t="inlineStr"/>
      <c r="J121" s="7" t="inlineStr">
        <is>
          <t>ABSA: CAB/IVU contract</t>
        </is>
      </c>
      <c r="K121" s="6" t="inlineStr">
        <is>
          <t>Planned</t>
        </is>
      </c>
      <c r="L121" s="6" t="inlineStr"/>
    </row>
    <row r="122">
      <c r="A122" s="5" t="inlineStr">
        <is>
          <t>Story</t>
        </is>
      </c>
      <c r="B122" s="5" t="inlineStr">
        <is>
          <t>ST-0702</t>
        </is>
      </c>
      <c r="C122" s="5" t="inlineStr">
        <is>
          <t>E07</t>
        </is>
      </c>
      <c r="D122" s="5" t="inlineStr">
        <is>
          <t>E07</t>
        </is>
      </c>
      <c r="E122" s="5" t="inlineStr">
        <is>
          <t>Rotation, retention &amp; audit</t>
        </is>
      </c>
      <c r="F122" s="5" t="inlineStr"/>
      <c r="G122" s="5" t="inlineStr">
        <is>
          <t>S4-S7</t>
        </is>
      </c>
      <c r="H122" s="5" t="inlineStr"/>
      <c r="I122" s="5" t="inlineStr"/>
      <c r="J122" s="5" t="inlineStr"/>
      <c r="K122" s="5" t="inlineStr"/>
      <c r="L122" s="5" t="inlineStr">
        <is>
          <t>Rotation cadence doc; S3 lifecycle policies; KMS rotation drill done; access audit pre-go-live.</t>
        </is>
      </c>
    </row>
    <row r="123">
      <c r="A123" s="6" t="inlineStr">
        <is>
          <t>Task</t>
        </is>
      </c>
      <c r="B123" s="6" t="inlineStr">
        <is>
          <t>T-0702</t>
        </is>
      </c>
      <c r="C123" s="6" t="inlineStr">
        <is>
          <t>ST-0702</t>
        </is>
      </c>
      <c r="D123" s="6" t="inlineStr">
        <is>
          <t>E07</t>
        </is>
      </c>
      <c r="E123" s="6" t="inlineStr">
        <is>
          <t>Rotation cadence doc: Jenkins creds, bot PAT, registrar tokens (D03)</t>
        </is>
      </c>
      <c r="F123" s="6" t="inlineStr">
        <is>
          <t>DevOps</t>
        </is>
      </c>
      <c r="G123" s="6" t="inlineStr">
        <is>
          <t>S4</t>
        </is>
      </c>
      <c r="H123" s="6" t="n">
        <v>1</v>
      </c>
      <c r="I123" s="6" t="inlineStr">
        <is>
          <t>T-0211</t>
        </is>
      </c>
      <c r="J123" s="6" t="inlineStr"/>
      <c r="K123" s="6" t="inlineStr">
        <is>
          <t>Planned</t>
        </is>
      </c>
      <c r="L123" s="6" t="inlineStr"/>
    </row>
    <row r="124">
      <c r="A124" s="6" t="inlineStr">
        <is>
          <t>Task</t>
        </is>
      </c>
      <c r="B124" s="6" t="inlineStr">
        <is>
          <t>T-0703</t>
        </is>
      </c>
      <c r="C124" s="6" t="inlineStr">
        <is>
          <t>ST-0702</t>
        </is>
      </c>
      <c r="D124" s="6" t="inlineStr">
        <is>
          <t>E07</t>
        </is>
      </c>
      <c r="E124" s="6" t="inlineStr">
        <is>
          <t>S3 lifecycle/retention policies per retention rules</t>
        </is>
      </c>
      <c r="F124" s="6" t="inlineStr">
        <is>
          <t>AWS</t>
        </is>
      </c>
      <c r="G124" s="6" t="inlineStr">
        <is>
          <t>S7</t>
        </is>
      </c>
      <c r="H124" s="6" t="n">
        <v>1</v>
      </c>
      <c r="I124" s="6" t="inlineStr">
        <is>
          <t>T-0318</t>
        </is>
      </c>
      <c r="J124" s="6" t="inlineStr"/>
      <c r="K124" s="6" t="inlineStr">
        <is>
          <t>Planned</t>
        </is>
      </c>
      <c r="L124" s="6" t="inlineStr"/>
    </row>
    <row r="125">
      <c r="A125" s="6" t="inlineStr">
        <is>
          <t>Task</t>
        </is>
      </c>
      <c r="B125" s="6" t="inlineStr">
        <is>
          <t>T-0704</t>
        </is>
      </c>
      <c r="C125" s="6" t="inlineStr">
        <is>
          <t>ST-0702</t>
        </is>
      </c>
      <c r="D125" s="6" t="inlineStr">
        <is>
          <t>E07</t>
        </is>
      </c>
      <c r="E125" s="6" t="inlineStr">
        <is>
          <t>KMS rotation drill per docs/runbooks/kms-key-rotation.md</t>
        </is>
      </c>
      <c r="F125" s="6" t="inlineStr">
        <is>
          <t>DevOps</t>
        </is>
      </c>
      <c r="G125" s="6" t="inlineStr">
        <is>
          <t>S7</t>
        </is>
      </c>
      <c r="H125" s="6" t="n">
        <v>1</v>
      </c>
      <c r="I125" s="6" t="inlineStr">
        <is>
          <t>T-0311</t>
        </is>
      </c>
      <c r="J125" s="6" t="inlineStr"/>
      <c r="K125" s="6" t="inlineStr">
        <is>
          <t>Planned</t>
        </is>
      </c>
      <c r="L125" s="6" t="inlineStr">
        <is>
          <t>AWS supports 0.5d</t>
        </is>
      </c>
    </row>
    <row r="126">
      <c r="A126" s="6" t="inlineStr">
        <is>
          <t>Task</t>
        </is>
      </c>
      <c r="B126" s="6" t="inlineStr">
        <is>
          <t>T-0705</t>
        </is>
      </c>
      <c r="C126" s="6" t="inlineStr">
        <is>
          <t>ST-0702</t>
        </is>
      </c>
      <c r="D126" s="6" t="inlineStr">
        <is>
          <t>E07</t>
        </is>
      </c>
      <c r="E126" s="6" t="inlineStr">
        <is>
          <t>Pre-go-live access review + least-privilege audit</t>
        </is>
      </c>
      <c r="F126" s="6" t="inlineStr">
        <is>
          <t>AWS</t>
        </is>
      </c>
      <c r="G126" s="6" t="inlineStr">
        <is>
          <t>S7</t>
        </is>
      </c>
      <c r="H126" s="6" t="n">
        <v>1</v>
      </c>
      <c r="I126" s="6" t="inlineStr">
        <is>
          <t>T-0310</t>
        </is>
      </c>
      <c r="J126" s="6" t="inlineStr"/>
      <c r="K126" s="6" t="inlineStr">
        <is>
          <t>Planned</t>
        </is>
      </c>
      <c r="L126" s="6" t="inlineStr"/>
    </row>
    <row r="127">
      <c r="A127" s="4" t="inlineStr">
        <is>
          <t>EPIC</t>
        </is>
      </c>
      <c r="B127" s="4" t="inlineStr">
        <is>
          <t>E08</t>
        </is>
      </c>
      <c r="C127" s="4" t="inlineStr"/>
      <c r="D127" s="4" t="inlineStr">
        <is>
          <t>E08</t>
        </is>
      </c>
      <c r="E127" s="4" t="inlineStr">
        <is>
          <t>Group 1 Go-Live (Models 1-2) — Dress rehearsal, production scoring, benchmark reconciliation, PIR, ABSA sign-off.</t>
        </is>
      </c>
      <c r="F127" s="4" t="inlineStr">
        <is>
          <t>TL</t>
        </is>
      </c>
      <c r="G127" s="4" t="inlineStr">
        <is>
          <t>S6-S8</t>
        </is>
      </c>
      <c r="H127" s="4" t="inlineStr"/>
      <c r="I127" s="4" t="inlineStr"/>
      <c r="J127" s="4" t="inlineStr"/>
      <c r="K127" s="4" t="inlineStr"/>
      <c r="L127" s="4" t="inlineStr"/>
    </row>
    <row r="128">
      <c r="A128" s="5" t="inlineStr">
        <is>
          <t>Story</t>
        </is>
      </c>
      <c r="B128" s="5" t="inlineStr">
        <is>
          <t>ST-0801</t>
        </is>
      </c>
      <c r="C128" s="5" t="inlineStr">
        <is>
          <t>E08</t>
        </is>
      </c>
      <c r="D128" s="5" t="inlineStr">
        <is>
          <t>E08</t>
        </is>
      </c>
      <c r="E128" s="5" t="inlineStr">
        <is>
          <t>Dress rehearsal (full chain)</t>
        </is>
      </c>
      <c r="F128" s="5" t="inlineStr"/>
      <c r="G128" s="5" t="inlineStr">
        <is>
          <t>S6</t>
        </is>
      </c>
      <c r="H128" s="5" t="inlineStr"/>
      <c r="I128" s="5" t="inlineStr"/>
      <c r="J128" s="5" t="inlineStr"/>
      <c r="K128" s="5" t="inlineStr"/>
      <c r="L128" s="5" t="inlineStr">
        <is>
          <t>Producer + verifier chain on real AWS for models 1-2; transcript archived; defects logged.</t>
        </is>
      </c>
    </row>
    <row r="129">
      <c r="A129" s="6" t="inlineStr">
        <is>
          <t>Task</t>
        </is>
      </c>
      <c r="B129" s="6" t="inlineStr">
        <is>
          <t>T-0801</t>
        </is>
      </c>
      <c r="C129" s="6" t="inlineStr">
        <is>
          <t>ST-0801</t>
        </is>
      </c>
      <c r="D129" s="6" t="inlineStr">
        <is>
          <t>E08</t>
        </is>
      </c>
      <c r="E129" s="6" t="inlineStr">
        <is>
          <t>Dress rehearsal orchestration: full chain on real AWS, models 1-2</t>
        </is>
      </c>
      <c r="F129" s="6" t="inlineStr">
        <is>
          <t>TL</t>
        </is>
      </c>
      <c r="G129" s="6" t="inlineStr">
        <is>
          <t>S6</t>
        </is>
      </c>
      <c r="H129" s="6" t="n">
        <v>2</v>
      </c>
      <c r="I129" s="6" t="inlineStr">
        <is>
          <t>T-0513,T-0602,T-0317</t>
        </is>
      </c>
      <c r="J129" s="6" t="inlineStr"/>
      <c r="K129" s="6" t="inlineStr">
        <is>
          <t>Planned</t>
        </is>
      </c>
      <c r="L129" s="6" t="inlineStr">
        <is>
          <t>Producer + verifier, archived transcript</t>
        </is>
      </c>
    </row>
    <row r="130">
      <c r="A130" s="6" t="inlineStr">
        <is>
          <t>Task</t>
        </is>
      </c>
      <c r="B130" s="6" t="inlineStr">
        <is>
          <t>T-0802</t>
        </is>
      </c>
      <c r="C130" s="6" t="inlineStr">
        <is>
          <t>ST-0801</t>
        </is>
      </c>
      <c r="D130" s="6" t="inlineStr">
        <is>
          <t>E08</t>
        </is>
      </c>
      <c r="E130" s="6" t="inlineStr">
        <is>
          <t>Dress rehearsal infra support + fixes</t>
        </is>
      </c>
      <c r="F130" s="6" t="inlineStr">
        <is>
          <t>AWS</t>
        </is>
      </c>
      <c r="G130" s="6" t="inlineStr">
        <is>
          <t>S6</t>
        </is>
      </c>
      <c r="H130" s="6" t="n">
        <v>2</v>
      </c>
      <c r="I130" s="6" t="inlineStr">
        <is>
          <t>T-0801</t>
        </is>
      </c>
      <c r="J130" s="6" t="inlineStr"/>
      <c r="K130" s="6" t="inlineStr">
        <is>
          <t>Planned</t>
        </is>
      </c>
      <c r="L130" s="6" t="inlineStr"/>
    </row>
    <row r="131">
      <c r="A131" s="6" t="inlineStr">
        <is>
          <t>Task</t>
        </is>
      </c>
      <c r="B131" s="6" t="inlineStr">
        <is>
          <t>T-0803</t>
        </is>
      </c>
      <c r="C131" s="6" t="inlineStr">
        <is>
          <t>ST-0801</t>
        </is>
      </c>
      <c r="D131" s="6" t="inlineStr">
        <is>
          <t>E08</t>
        </is>
      </c>
      <c r="E131" s="6" t="inlineStr">
        <is>
          <t>Dress rehearsal model runs + output checks</t>
        </is>
      </c>
      <c r="F131" s="6" t="inlineStr">
        <is>
          <t>SAS</t>
        </is>
      </c>
      <c r="G131" s="6" t="inlineStr">
        <is>
          <t>S6</t>
        </is>
      </c>
      <c r="H131" s="6" t="n">
        <v>2</v>
      </c>
      <c r="I131" s="6" t="inlineStr">
        <is>
          <t>T-0801</t>
        </is>
      </c>
      <c r="J131" s="6" t="inlineStr"/>
      <c r="K131" s="6" t="inlineStr">
        <is>
          <t>Planned</t>
        </is>
      </c>
      <c r="L131" s="6" t="inlineStr"/>
    </row>
    <row r="132">
      <c r="A132" s="6" t="inlineStr">
        <is>
          <t>Task</t>
        </is>
      </c>
      <c r="B132" s="6" t="inlineStr">
        <is>
          <t>T-0804</t>
        </is>
      </c>
      <c r="C132" s="6" t="inlineStr">
        <is>
          <t>ST-0801</t>
        </is>
      </c>
      <c r="D132" s="6" t="inlineStr">
        <is>
          <t>E08</t>
        </is>
      </c>
      <c r="E132" s="6" t="inlineStr">
        <is>
          <t>Dress rehearsal CI/pipeline ops</t>
        </is>
      </c>
      <c r="F132" s="6" t="inlineStr">
        <is>
          <t>DevOps</t>
        </is>
      </c>
      <c r="G132" s="6" t="inlineStr">
        <is>
          <t>S6</t>
        </is>
      </c>
      <c r="H132" s="6" t="n">
        <v>1</v>
      </c>
      <c r="I132" s="6" t="inlineStr">
        <is>
          <t>T-0801</t>
        </is>
      </c>
      <c r="J132" s="6" t="inlineStr"/>
      <c r="K132" s="6" t="inlineStr">
        <is>
          <t>Planned</t>
        </is>
      </c>
      <c r="L132" s="6" t="inlineStr"/>
    </row>
    <row r="133">
      <c r="A133" s="5" t="inlineStr">
        <is>
          <t>Story</t>
        </is>
      </c>
      <c r="B133" s="5" t="inlineStr">
        <is>
          <t>ST-0802</t>
        </is>
      </c>
      <c r="C133" s="5" t="inlineStr">
        <is>
          <t>E08</t>
        </is>
      </c>
      <c r="D133" s="5" t="inlineStr">
        <is>
          <t>E08</t>
        </is>
      </c>
      <c r="E133" s="5" t="inlineStr">
        <is>
          <t>Group 1 production scoring</t>
        </is>
      </c>
      <c r="F133" s="5" t="inlineStr"/>
      <c r="G133" s="5" t="inlineStr">
        <is>
          <t>S7</t>
        </is>
      </c>
      <c r="H133" s="5" t="inlineStr"/>
      <c r="I133" s="5" t="inlineStr"/>
      <c r="J133" s="5" t="inlineStr"/>
      <c r="K133" s="5" t="inlineStr"/>
      <c r="L133" s="5" t="inlineStr">
        <is>
          <t>Initial scheduled runs in prod; outputs delivered; DQ green.</t>
        </is>
      </c>
    </row>
    <row r="134">
      <c r="A134" s="6" t="inlineStr">
        <is>
          <t>Task</t>
        </is>
      </c>
      <c r="B134" s="6" t="inlineStr">
        <is>
          <t>T-0805</t>
        </is>
      </c>
      <c r="C134" s="6" t="inlineStr">
        <is>
          <t>ST-0802</t>
        </is>
      </c>
      <c r="D134" s="6" t="inlineStr">
        <is>
          <t>E08</t>
        </is>
      </c>
      <c r="E134" s="6" t="inlineStr">
        <is>
          <t>Initial production scoring runs (models 1-2)</t>
        </is>
      </c>
      <c r="F134" s="6" t="inlineStr">
        <is>
          <t>AWS</t>
        </is>
      </c>
      <c r="G134" s="6" t="inlineStr">
        <is>
          <t>S7</t>
        </is>
      </c>
      <c r="H134" s="6" t="n">
        <v>2</v>
      </c>
      <c r="I134" s="6" t="inlineStr">
        <is>
          <t>T-0801</t>
        </is>
      </c>
      <c r="J134" s="6" t="inlineStr"/>
      <c r="K134" s="6" t="inlineStr">
        <is>
          <t>Planned</t>
        </is>
      </c>
      <c r="L134" s="6" t="inlineStr"/>
    </row>
    <row r="135">
      <c r="A135" s="6" t="inlineStr">
        <is>
          <t>Task</t>
        </is>
      </c>
      <c r="B135" s="6" t="inlineStr">
        <is>
          <t>T-0806</t>
        </is>
      </c>
      <c r="C135" s="6" t="inlineStr">
        <is>
          <t>ST-0802</t>
        </is>
      </c>
      <c r="D135" s="6" t="inlineStr">
        <is>
          <t>E08</t>
        </is>
      </c>
      <c r="E135" s="6" t="inlineStr">
        <is>
          <t>Production run monitoring + incident handling</t>
        </is>
      </c>
      <c r="F135" s="6" t="inlineStr">
        <is>
          <t>DevOps</t>
        </is>
      </c>
      <c r="G135" s="6" t="inlineStr">
        <is>
          <t>S7</t>
        </is>
      </c>
      <c r="H135" s="6" t="n">
        <v>1</v>
      </c>
      <c r="I135" s="6" t="inlineStr">
        <is>
          <t>T-0805</t>
        </is>
      </c>
      <c r="J135" s="6" t="inlineStr"/>
      <c r="K135" s="6" t="inlineStr">
        <is>
          <t>Planned</t>
        </is>
      </c>
      <c r="L135" s="6" t="inlineStr"/>
    </row>
    <row r="136">
      <c r="A136" s="5" t="inlineStr">
        <is>
          <t>Story</t>
        </is>
      </c>
      <c r="B136" s="5" t="inlineStr">
        <is>
          <t>ST-0803</t>
        </is>
      </c>
      <c r="C136" s="5" t="inlineStr">
        <is>
          <t>E08</t>
        </is>
      </c>
      <c r="D136" s="5" t="inlineStr">
        <is>
          <t>E08</t>
        </is>
      </c>
      <c r="E136" s="5" t="inlineStr">
        <is>
          <t>Reconciliation &amp; defect cycle</t>
        </is>
      </c>
      <c r="F136" s="5" t="inlineStr"/>
      <c r="G136" s="5" t="inlineStr">
        <is>
          <t>S7-S8</t>
        </is>
      </c>
      <c r="H136" s="5" t="inlineStr"/>
      <c r="I136" s="5" t="inlineStr"/>
      <c r="J136" s="5" t="inlineStr"/>
      <c r="K136" s="5" t="inlineStr"/>
      <c r="L136" s="5" t="inlineStr">
        <is>
          <t>Outputs reconcile within tolerance; defects closed and re-run.</t>
        </is>
      </c>
    </row>
    <row r="137">
      <c r="A137" s="6" t="inlineStr">
        <is>
          <t>Task</t>
        </is>
      </c>
      <c r="B137" s="6" t="inlineStr">
        <is>
          <t>T-0807</t>
        </is>
      </c>
      <c r="C137" s="6" t="inlineStr">
        <is>
          <t>ST-0803</t>
        </is>
      </c>
      <c r="D137" s="6" t="inlineStr">
        <is>
          <t>E08</t>
        </is>
      </c>
      <c r="E137" s="6" t="inlineStr">
        <is>
          <t>Reconcile G1 outputs vs benchmarks (tolerance report)</t>
        </is>
      </c>
      <c r="F137" s="6" t="inlineStr">
        <is>
          <t>SAS</t>
        </is>
      </c>
      <c r="G137" s="6" t="inlineStr">
        <is>
          <t>S7</t>
        </is>
      </c>
      <c r="H137" s="6" t="n">
        <v>3</v>
      </c>
      <c r="I137" s="6" t="inlineStr">
        <is>
          <t>T-0805,T-0514</t>
        </is>
      </c>
      <c r="J137" s="6" t="inlineStr"/>
      <c r="K137" s="6" t="inlineStr">
        <is>
          <t>Planned</t>
        </is>
      </c>
      <c r="L137" s="6" t="inlineStr"/>
    </row>
    <row r="138">
      <c r="A138" s="6" t="inlineStr">
        <is>
          <t>Task</t>
        </is>
      </c>
      <c r="B138" s="6" t="inlineStr">
        <is>
          <t>T-0808</t>
        </is>
      </c>
      <c r="C138" s="6" t="inlineStr">
        <is>
          <t>ST-0803</t>
        </is>
      </c>
      <c r="D138" s="6" t="inlineStr">
        <is>
          <t>E08</t>
        </is>
      </c>
      <c r="E138" s="6" t="inlineStr">
        <is>
          <t>Defect triage + fix cycle</t>
        </is>
      </c>
      <c r="F138" s="6" t="inlineStr">
        <is>
          <t>SAS</t>
        </is>
      </c>
      <c r="G138" s="6" t="inlineStr">
        <is>
          <t>S7</t>
        </is>
      </c>
      <c r="H138" s="6" t="n">
        <v>3</v>
      </c>
      <c r="I138" s="6" t="inlineStr">
        <is>
          <t>T-0807</t>
        </is>
      </c>
      <c r="J138" s="6" t="inlineStr"/>
      <c r="K138" s="6" t="inlineStr">
        <is>
          <t>Planned</t>
        </is>
      </c>
      <c r="L138" s="6" t="inlineStr">
        <is>
          <t>TL triages 1d</t>
        </is>
      </c>
    </row>
    <row r="139">
      <c r="A139" s="6" t="inlineStr">
        <is>
          <t>Task</t>
        </is>
      </c>
      <c r="B139" s="6" t="inlineStr">
        <is>
          <t>T-0809</t>
        </is>
      </c>
      <c r="C139" s="6" t="inlineStr">
        <is>
          <t>ST-0803</t>
        </is>
      </c>
      <c r="D139" s="6" t="inlineStr">
        <is>
          <t>E08</t>
        </is>
      </c>
      <c r="E139" s="6" t="inlineStr">
        <is>
          <t>Defect triage facilitation + ABSA comms</t>
        </is>
      </c>
      <c r="F139" s="6" t="inlineStr">
        <is>
          <t>TL</t>
        </is>
      </c>
      <c r="G139" s="6" t="inlineStr">
        <is>
          <t>S7</t>
        </is>
      </c>
      <c r="H139" s="6" t="n">
        <v>1</v>
      </c>
      <c r="I139" s="6" t="inlineStr">
        <is>
          <t>T-0807</t>
        </is>
      </c>
      <c r="J139" s="6" t="inlineStr"/>
      <c r="K139" s="6" t="inlineStr">
        <is>
          <t>Planned</t>
        </is>
      </c>
      <c r="L139" s="6" t="inlineStr"/>
    </row>
    <row r="140">
      <c r="A140" s="6" t="inlineStr">
        <is>
          <t>Task</t>
        </is>
      </c>
      <c r="B140" s="6" t="inlineStr">
        <is>
          <t>T-0810</t>
        </is>
      </c>
      <c r="C140" s="6" t="inlineStr">
        <is>
          <t>ST-0803</t>
        </is>
      </c>
      <c r="D140" s="6" t="inlineStr">
        <is>
          <t>E08</t>
        </is>
      </c>
      <c r="E140" s="6" t="inlineStr">
        <is>
          <t>Defect closure + re-run + final reconciliation</t>
        </is>
      </c>
      <c r="F140" s="6" t="inlineStr">
        <is>
          <t>SAS</t>
        </is>
      </c>
      <c r="G140" s="6" t="inlineStr">
        <is>
          <t>S8</t>
        </is>
      </c>
      <c r="H140" s="6" t="n">
        <v>2</v>
      </c>
      <c r="I140" s="6" t="inlineStr">
        <is>
          <t>T-0808</t>
        </is>
      </c>
      <c r="J140" s="6" t="inlineStr"/>
      <c r="K140" s="6" t="inlineStr">
        <is>
          <t>Planned</t>
        </is>
      </c>
      <c r="L140" s="6" t="inlineStr"/>
    </row>
    <row r="141">
      <c r="A141" s="5" t="inlineStr">
        <is>
          <t>Story</t>
        </is>
      </c>
      <c r="B141" s="5" t="inlineStr">
        <is>
          <t>ST-0804</t>
        </is>
      </c>
      <c r="C141" s="5" t="inlineStr">
        <is>
          <t>E08</t>
        </is>
      </c>
      <c r="D141" s="5" t="inlineStr">
        <is>
          <t>E08</t>
        </is>
      </c>
      <c r="E141" s="5" t="inlineStr">
        <is>
          <t>PIR &amp; ABSA sign-off</t>
        </is>
      </c>
      <c r="F141" s="5" t="inlineStr"/>
      <c r="G141" s="5" t="inlineStr">
        <is>
          <t>S8</t>
        </is>
      </c>
      <c r="H141" s="5" t="inlineStr"/>
      <c r="I141" s="5" t="inlineStr"/>
      <c r="J141" s="5" t="inlineStr"/>
      <c r="K141" s="5" t="inlineStr"/>
      <c r="L141" s="5" t="inlineStr">
        <is>
          <t>PIR evidence pack submitted; written ABSA Risk Owner sign-off (THE program gate).</t>
        </is>
      </c>
    </row>
    <row r="142">
      <c r="A142" s="6" t="inlineStr">
        <is>
          <t>Task</t>
        </is>
      </c>
      <c r="B142" s="6" t="inlineStr">
        <is>
          <t>T-0811</t>
        </is>
      </c>
      <c r="C142" s="6" t="inlineStr">
        <is>
          <t>ST-0804</t>
        </is>
      </c>
      <c r="D142" s="6" t="inlineStr">
        <is>
          <t>E08</t>
        </is>
      </c>
      <c r="E142" s="6" t="inlineStr">
        <is>
          <t>PIR evidence pack (reconciliation, DQ, audit trail)</t>
        </is>
      </c>
      <c r="F142" s="6" t="inlineStr">
        <is>
          <t>SAS</t>
        </is>
      </c>
      <c r="G142" s="6" t="inlineStr">
        <is>
          <t>S8</t>
        </is>
      </c>
      <c r="H142" s="6" t="n">
        <v>2</v>
      </c>
      <c r="I142" s="6" t="inlineStr">
        <is>
          <t>T-0810</t>
        </is>
      </c>
      <c r="J142" s="6" t="inlineStr"/>
      <c r="K142" s="6" t="inlineStr">
        <is>
          <t>Planned</t>
        </is>
      </c>
      <c r="L142" s="6" t="inlineStr"/>
    </row>
    <row r="143">
      <c r="A143" s="6" t="inlineStr">
        <is>
          <t>Task</t>
        </is>
      </c>
      <c r="B143" s="6" t="inlineStr">
        <is>
          <t>T-0812</t>
        </is>
      </c>
      <c r="C143" s="6" t="inlineStr">
        <is>
          <t>ST-0804</t>
        </is>
      </c>
      <c r="D143" s="6" t="inlineStr">
        <is>
          <t>E08</t>
        </is>
      </c>
      <c r="E143" s="6" t="inlineStr">
        <is>
          <t>PIR data evidence: lineage + DQ reports</t>
        </is>
      </c>
      <c r="F143" s="6" t="inlineStr">
        <is>
          <t>DE</t>
        </is>
      </c>
      <c r="G143" s="6" t="inlineStr">
        <is>
          <t>S8</t>
        </is>
      </c>
      <c r="H143" s="6" t="n">
        <v>1</v>
      </c>
      <c r="I143" s="6" t="inlineStr">
        <is>
          <t>T-0810</t>
        </is>
      </c>
      <c r="J143" s="6" t="inlineStr"/>
      <c r="K143" s="6" t="inlineStr">
        <is>
          <t>Planned</t>
        </is>
      </c>
      <c r="L143" s="6" t="inlineStr"/>
    </row>
    <row r="144">
      <c r="A144" s="6" t="inlineStr">
        <is>
          <t>Task</t>
        </is>
      </c>
      <c r="B144" s="6" t="inlineStr">
        <is>
          <t>T-0813</t>
        </is>
      </c>
      <c r="C144" s="6" t="inlineStr">
        <is>
          <t>ST-0804</t>
        </is>
      </c>
      <c r="D144" s="6" t="inlineStr">
        <is>
          <t>E08</t>
        </is>
      </c>
      <c r="E144" s="6" t="inlineStr">
        <is>
          <t>ABSA sign-off review meeting + written sign-off</t>
        </is>
      </c>
      <c r="F144" s="6" t="inlineStr">
        <is>
          <t>TL</t>
        </is>
      </c>
      <c r="G144" s="6" t="inlineStr">
        <is>
          <t>S8</t>
        </is>
      </c>
      <c r="H144" s="6" t="n">
        <v>2</v>
      </c>
      <c r="I144" s="6" t="inlineStr">
        <is>
          <t>T-0811</t>
        </is>
      </c>
      <c r="J144" s="6" t="inlineStr"/>
      <c r="K144" s="6" t="inlineStr">
        <is>
          <t>Planned</t>
        </is>
      </c>
      <c r="L144" s="6" t="inlineStr">
        <is>
          <t>*** THE program gate ***</t>
        </is>
      </c>
    </row>
    <row r="145">
      <c r="A145" s="6" t="inlineStr">
        <is>
          <t>Task</t>
        </is>
      </c>
      <c r="B145" s="6" t="inlineStr">
        <is>
          <t>T-0814</t>
        </is>
      </c>
      <c r="C145" s="6" t="inlineStr">
        <is>
          <t>ST-0804</t>
        </is>
      </c>
      <c r="D145" s="6" t="inlineStr">
        <is>
          <t>E08</t>
        </is>
      </c>
      <c r="E145" s="6" t="inlineStr">
        <is>
          <t>G1 production schedules confirmed live</t>
        </is>
      </c>
      <c r="F145" s="6" t="inlineStr">
        <is>
          <t>AWS</t>
        </is>
      </c>
      <c r="G145" s="6" t="inlineStr">
        <is>
          <t>S8</t>
        </is>
      </c>
      <c r="H145" s="6" t="n">
        <v>0.5</v>
      </c>
      <c r="I145" s="6" t="inlineStr">
        <is>
          <t>T-0813</t>
        </is>
      </c>
      <c r="J145" s="6" t="inlineStr"/>
      <c r="K145" s="6" t="inlineStr">
        <is>
          <t>Planned</t>
        </is>
      </c>
      <c r="L145" s="6" t="inlineStr"/>
    </row>
    <row r="146">
      <c r="A146" s="4" t="inlineStr">
        <is>
          <t>EPIC</t>
        </is>
      </c>
      <c r="B146" s="4" t="inlineStr">
        <is>
          <t>E09</t>
        </is>
      </c>
      <c r="C146" s="4" t="inlineStr"/>
      <c r="D146" s="4" t="inlineStr">
        <is>
          <t>E09</t>
        </is>
      </c>
      <c r="E146" s="4" t="inlineStr">
        <is>
          <t>Dashboards &amp; Output Delivery — Run-status dashboard, alerting, DQ/drift panels, automated signed output delivery to ABSA.</t>
        </is>
      </c>
      <c r="F146" s="4" t="inlineStr">
        <is>
          <t>DevOps</t>
        </is>
      </c>
      <c r="G146" s="4" t="inlineStr">
        <is>
          <t>S4-S9</t>
        </is>
      </c>
      <c r="H146" s="4" t="inlineStr"/>
      <c r="I146" s="4" t="inlineStr"/>
      <c r="J146" s="4" t="inlineStr"/>
      <c r="K146" s="4" t="inlineStr"/>
      <c r="L146" s="4" t="inlineStr"/>
    </row>
    <row r="147">
      <c r="A147" s="5" t="inlineStr">
        <is>
          <t>Story</t>
        </is>
      </c>
      <c r="B147" s="5" t="inlineStr">
        <is>
          <t>ST-0901</t>
        </is>
      </c>
      <c r="C147" s="5" t="inlineStr">
        <is>
          <t>E09</t>
        </is>
      </c>
      <c r="D147" s="5" t="inlineStr">
        <is>
          <t>E09</t>
        </is>
      </c>
      <c r="E147" s="5" t="inlineStr">
        <is>
          <t>Dashboard tooling &amp; build</t>
        </is>
      </c>
      <c r="F147" s="5" t="inlineStr"/>
      <c r="G147" s="5" t="inlineStr">
        <is>
          <t>S4-S6</t>
        </is>
      </c>
      <c r="H147" s="5" t="inlineStr"/>
      <c r="I147" s="5" t="inlineStr"/>
      <c r="J147" s="5" t="inlineStr"/>
      <c r="K147" s="5" t="inlineStr"/>
      <c r="L147" s="5" t="inlineStr">
        <is>
          <t>D08 decided; run-status dashboard live for G1 runs.</t>
        </is>
      </c>
    </row>
    <row r="148">
      <c r="A148" s="6" t="inlineStr">
        <is>
          <t>Task</t>
        </is>
      </c>
      <c r="B148" s="6" t="inlineStr">
        <is>
          <t>T-0901</t>
        </is>
      </c>
      <c r="C148" s="6" t="inlineStr">
        <is>
          <t>ST-0901</t>
        </is>
      </c>
      <c r="D148" s="6" t="inlineStr">
        <is>
          <t>E09</t>
        </is>
      </c>
      <c r="E148" s="6" t="inlineStr">
        <is>
          <t>D08 tooling decision: CloudWatch / Grafana / QuickSight</t>
        </is>
      </c>
      <c r="F148" s="6" t="inlineStr">
        <is>
          <t>DevOps</t>
        </is>
      </c>
      <c r="G148" s="6" t="inlineStr">
        <is>
          <t>S4</t>
        </is>
      </c>
      <c r="H148" s="6" t="n">
        <v>1.5</v>
      </c>
      <c r="I148" s="6" t="inlineStr"/>
      <c r="J148" s="6" t="inlineStr"/>
      <c r="K148" s="6" t="inlineStr">
        <is>
          <t>Planned</t>
        </is>
      </c>
      <c r="L148" s="6" t="inlineStr"/>
    </row>
    <row r="149">
      <c r="A149" s="6" t="inlineStr">
        <is>
          <t>Task</t>
        </is>
      </c>
      <c r="B149" s="6" t="inlineStr">
        <is>
          <t>T-0902</t>
        </is>
      </c>
      <c r="C149" s="6" t="inlineStr">
        <is>
          <t>ST-0901</t>
        </is>
      </c>
      <c r="D149" s="6" t="inlineStr">
        <is>
          <t>E09</t>
        </is>
      </c>
      <c r="E149" s="6" t="inlineStr">
        <is>
          <t>Run-status dashboard build (runs, exceptions, durations)</t>
        </is>
      </c>
      <c r="F149" s="6" t="inlineStr">
        <is>
          <t>DevOps</t>
        </is>
      </c>
      <c r="G149" s="6" t="inlineStr">
        <is>
          <t>S6</t>
        </is>
      </c>
      <c r="H149" s="6" t="n">
        <v>3</v>
      </c>
      <c r="I149" s="6" t="inlineStr">
        <is>
          <t>T-0901</t>
        </is>
      </c>
      <c r="J149" s="6" t="inlineStr"/>
      <c r="K149" s="6" t="inlineStr">
        <is>
          <t>Planned</t>
        </is>
      </c>
      <c r="L149" s="6" t="inlineStr"/>
    </row>
    <row r="150">
      <c r="A150" s="5" t="inlineStr">
        <is>
          <t>Story</t>
        </is>
      </c>
      <c r="B150" s="5" t="inlineStr">
        <is>
          <t>ST-0902</t>
        </is>
      </c>
      <c r="C150" s="5" t="inlineStr">
        <is>
          <t>E09</t>
        </is>
      </c>
      <c r="D150" s="5" t="inlineStr">
        <is>
          <t>E09</t>
        </is>
      </c>
      <c r="E150" s="5" t="inlineStr">
        <is>
          <t>Alerting &amp; notifications</t>
        </is>
      </c>
      <c r="F150" s="5" t="inlineStr"/>
      <c r="G150" s="5" t="inlineStr">
        <is>
          <t>S5-S9</t>
        </is>
      </c>
      <c r="H150" s="5" t="inlineStr"/>
      <c r="I150" s="5" t="inlineStr"/>
      <c r="J150" s="5" t="inlineStr"/>
      <c r="K150" s="5" t="inlineStr"/>
      <c r="L150" s="5" t="inlineStr">
        <is>
          <t>Failure alerts routed (email/Slack); ABSA SPOC notification path tested.</t>
        </is>
      </c>
    </row>
    <row r="151">
      <c r="A151" s="6" t="inlineStr">
        <is>
          <t>Task</t>
        </is>
      </c>
      <c r="B151" s="6" t="inlineStr">
        <is>
          <t>T-0903</t>
        </is>
      </c>
      <c r="C151" s="6" t="inlineStr">
        <is>
          <t>ST-0902</t>
        </is>
      </c>
      <c r="D151" s="6" t="inlineStr">
        <is>
          <t>E09</t>
        </is>
      </c>
      <c r="E151" s="6" t="inlineStr">
        <is>
          <t>Alert routing: SNS -&gt; email/Slack; severity mapping</t>
        </is>
      </c>
      <c r="F151" s="6" t="inlineStr">
        <is>
          <t>DevOps</t>
        </is>
      </c>
      <c r="G151" s="6" t="inlineStr">
        <is>
          <t>S5</t>
        </is>
      </c>
      <c r="H151" s="6" t="n">
        <v>2</v>
      </c>
      <c r="I151" s="6" t="inlineStr">
        <is>
          <t>T-0901</t>
        </is>
      </c>
      <c r="J151" s="6" t="inlineStr"/>
      <c r="K151" s="6" t="inlineStr">
        <is>
          <t>Planned</t>
        </is>
      </c>
      <c r="L151" s="6" t="inlineStr"/>
    </row>
    <row r="152">
      <c r="A152" s="6" t="inlineStr">
        <is>
          <t>Task</t>
        </is>
      </c>
      <c r="B152" s="6" t="inlineStr">
        <is>
          <t>T-0904</t>
        </is>
      </c>
      <c r="C152" s="6" t="inlineStr">
        <is>
          <t>ST-0902</t>
        </is>
      </c>
      <c r="D152" s="6" t="inlineStr">
        <is>
          <t>E09</t>
        </is>
      </c>
      <c r="E152" s="6" t="inlineStr">
        <is>
          <t>Failure notifications to ABSA SPOC path tested</t>
        </is>
      </c>
      <c r="F152" s="6" t="inlineStr">
        <is>
          <t>DevOps</t>
        </is>
      </c>
      <c r="G152" s="6" t="inlineStr">
        <is>
          <t>S9</t>
        </is>
      </c>
      <c r="H152" s="6" t="n">
        <v>1</v>
      </c>
      <c r="I152" s="6" t="inlineStr">
        <is>
          <t>T-0903</t>
        </is>
      </c>
      <c r="J152" s="6" t="inlineStr"/>
      <c r="K152" s="6" t="inlineStr">
        <is>
          <t>Planned</t>
        </is>
      </c>
      <c r="L152" s="6" t="inlineStr"/>
    </row>
    <row r="153">
      <c r="A153" s="5" t="inlineStr">
        <is>
          <t>Story</t>
        </is>
      </c>
      <c r="B153" s="5" t="inlineStr">
        <is>
          <t>ST-0903</t>
        </is>
      </c>
      <c r="C153" s="5" t="inlineStr">
        <is>
          <t>E09</t>
        </is>
      </c>
      <c r="D153" s="5" t="inlineStr">
        <is>
          <t>E09</t>
        </is>
      </c>
      <c r="E153" s="5" t="inlineStr">
        <is>
          <t>DQ / drift panels</t>
        </is>
      </c>
      <c r="F153" s="5" t="inlineStr"/>
      <c r="G153" s="5" t="inlineStr">
        <is>
          <t>S8</t>
        </is>
      </c>
      <c r="H153" s="5" t="inlineStr"/>
      <c r="I153" s="5" t="inlineStr"/>
      <c r="J153" s="5" t="inlineStr"/>
      <c r="K153" s="5" t="inlineStr"/>
      <c r="L153" s="5" t="inlineStr">
        <is>
          <t>DQ + drift panels visible alongside run status.</t>
        </is>
      </c>
    </row>
    <row r="154">
      <c r="A154" s="6" t="inlineStr">
        <is>
          <t>Task</t>
        </is>
      </c>
      <c r="B154" s="6" t="inlineStr">
        <is>
          <t>T-0905</t>
        </is>
      </c>
      <c r="C154" s="6" t="inlineStr">
        <is>
          <t>ST-0903</t>
        </is>
      </c>
      <c r="D154" s="6" t="inlineStr">
        <is>
          <t>E09</t>
        </is>
      </c>
      <c r="E154" s="6" t="inlineStr">
        <is>
          <t>DQ + drift panels alongside run status</t>
        </is>
      </c>
      <c r="F154" s="6" t="inlineStr">
        <is>
          <t>DE</t>
        </is>
      </c>
      <c r="G154" s="6" t="inlineStr">
        <is>
          <t>S8</t>
        </is>
      </c>
      <c r="H154" s="6" t="n">
        <v>2</v>
      </c>
      <c r="I154" s="6" t="inlineStr">
        <is>
          <t>T-0410,T-0902</t>
        </is>
      </c>
      <c r="J154" s="6" t="inlineStr"/>
      <c r="K154" s="6" t="inlineStr">
        <is>
          <t>Planned</t>
        </is>
      </c>
      <c r="L154" s="6" t="inlineStr"/>
    </row>
    <row r="155">
      <c r="A155" s="5" t="inlineStr">
        <is>
          <t>Story</t>
        </is>
      </c>
      <c r="B155" s="5" t="inlineStr">
        <is>
          <t>ST-0904</t>
        </is>
      </c>
      <c r="C155" s="5" t="inlineStr">
        <is>
          <t>E09</t>
        </is>
      </c>
      <c r="D155" s="5" t="inlineStr">
        <is>
          <t>E09</t>
        </is>
      </c>
      <c r="E155" s="5" t="inlineStr">
        <is>
          <t>Output delivery automation (D09)</t>
        </is>
      </c>
      <c r="F155" s="5" t="inlineStr"/>
      <c r="G155" s="5" t="inlineStr">
        <is>
          <t>S8-S9</t>
        </is>
      </c>
      <c r="H155" s="5" t="inlineStr"/>
      <c r="I155" s="5" t="inlineStr"/>
      <c r="J155" s="5" t="inlineStr"/>
      <c r="K155" s="5" t="inlineStr"/>
      <c r="L155" s="5" t="inlineStr">
        <is>
          <t>Signed outputs auto-delivered to ABSA with confirmation evidence; validated with recipients.</t>
        </is>
      </c>
    </row>
    <row r="156">
      <c r="A156" s="6" t="inlineStr">
        <is>
          <t>Task</t>
        </is>
      </c>
      <c r="B156" s="6" t="inlineStr">
        <is>
          <t>T-0906</t>
        </is>
      </c>
      <c r="C156" s="6" t="inlineStr">
        <is>
          <t>ST-0904</t>
        </is>
      </c>
      <c r="D156" s="6" t="inlineStr">
        <is>
          <t>E09</t>
        </is>
      </c>
      <c r="E156" s="6" t="inlineStr">
        <is>
          <t>Automated signed output delivery to ABSA + confirmation evidence</t>
        </is>
      </c>
      <c r="F156" s="6" t="inlineStr">
        <is>
          <t>DevOps</t>
        </is>
      </c>
      <c r="G156" s="6" t="inlineStr">
        <is>
          <t>S8</t>
        </is>
      </c>
      <c r="H156" s="6" t="n">
        <v>2</v>
      </c>
      <c r="I156" s="6" t="inlineStr">
        <is>
          <t>T-0319</t>
        </is>
      </c>
      <c r="J156" s="7" t="inlineStr">
        <is>
          <t>ABSA: data movement</t>
        </is>
      </c>
      <c r="K156" s="6" t="inlineStr">
        <is>
          <t>Planned</t>
        </is>
      </c>
      <c r="L156" s="6" t="inlineStr"/>
    </row>
    <row r="157">
      <c r="A157" s="6" t="inlineStr">
        <is>
          <t>Task</t>
        </is>
      </c>
      <c r="B157" s="6" t="inlineStr">
        <is>
          <t>T-0907</t>
        </is>
      </c>
      <c r="C157" s="6" t="inlineStr">
        <is>
          <t>ST-0904</t>
        </is>
      </c>
      <c r="D157" s="6" t="inlineStr">
        <is>
          <t>E09</t>
        </is>
      </c>
      <c r="E157" s="6" t="inlineStr">
        <is>
          <t>Delivery validation with ABSA recipients</t>
        </is>
      </c>
      <c r="F157" s="6" t="inlineStr">
        <is>
          <t>DevOps</t>
        </is>
      </c>
      <c r="G157" s="6" t="inlineStr">
        <is>
          <t>S9</t>
        </is>
      </c>
      <c r="H157" s="6" t="n">
        <v>1</v>
      </c>
      <c r="I157" s="6" t="inlineStr">
        <is>
          <t>T-0906</t>
        </is>
      </c>
      <c r="J157" s="6" t="inlineStr"/>
      <c r="K157" s="6" t="inlineStr">
        <is>
          <t>Planned</t>
        </is>
      </c>
      <c r="L157" s="6" t="inlineStr"/>
    </row>
    <row r="158">
      <c r="A158" s="6" t="inlineStr">
        <is>
          <t>Task</t>
        </is>
      </c>
      <c r="B158" s="6" t="inlineStr">
        <is>
          <t>T-0908</t>
        </is>
      </c>
      <c r="C158" s="6" t="inlineStr">
        <is>
          <t>ST-0904</t>
        </is>
      </c>
      <c r="D158" s="6" t="inlineStr">
        <is>
          <t>E09</t>
        </is>
      </c>
      <c r="E158" s="6" t="inlineStr">
        <is>
          <t>Dashboard access + validation with ABSA recipients</t>
        </is>
      </c>
      <c r="F158" s="6" t="inlineStr">
        <is>
          <t>DevOps</t>
        </is>
      </c>
      <c r="G158" s="6" t="inlineStr">
        <is>
          <t>S9</t>
        </is>
      </c>
      <c r="H158" s="6" t="n">
        <v>1</v>
      </c>
      <c r="I158" s="6" t="inlineStr">
        <is>
          <t>T-0902</t>
        </is>
      </c>
      <c r="J158" s="6" t="inlineStr"/>
      <c r="K158" s="6" t="inlineStr">
        <is>
          <t>Planned</t>
        </is>
      </c>
      <c r="L158" s="6" t="inlineStr"/>
    </row>
    <row r="159">
      <c r="A159" s="4" t="inlineStr">
        <is>
          <t>EPIC</t>
        </is>
      </c>
      <c r="B159" s="4" t="inlineStr">
        <is>
          <t>E10</t>
        </is>
      </c>
      <c r="C159" s="4" t="inlineStr"/>
      <c r="D159" s="4" t="inlineStr">
        <is>
          <t>E10</t>
        </is>
      </c>
      <c r="E159" s="4" t="inlineStr">
        <is>
          <t>Group 2 Scale-Out (Models 3-10) — Template-driven onboarding, 2 models per sprint across 4 waves, Group 2 sign-off.</t>
        </is>
      </c>
      <c r="F159" s="4" t="inlineStr">
        <is>
          <t>SAS</t>
        </is>
      </c>
      <c r="G159" s="4" t="inlineStr">
        <is>
          <t>S8-S12</t>
        </is>
      </c>
      <c r="H159" s="4" t="inlineStr"/>
      <c r="I159" s="4" t="inlineStr"/>
      <c r="J159" s="4" t="inlineStr"/>
      <c r="K159" s="4" t="inlineStr"/>
      <c r="L159" s="4" t="inlineStr"/>
    </row>
    <row r="160">
      <c r="A160" s="5" t="inlineStr">
        <is>
          <t>Story</t>
        </is>
      </c>
      <c r="B160" s="5" t="inlineStr">
        <is>
          <t>ST-1001</t>
        </is>
      </c>
      <c r="C160" s="5" t="inlineStr">
        <is>
          <t>E10</t>
        </is>
      </c>
      <c r="D160" s="5" t="inlineStr">
        <is>
          <t>E10</t>
        </is>
      </c>
      <c r="E160" s="5" t="inlineStr">
        <is>
          <t>Group 2 onboarding plan</t>
        </is>
      </c>
      <c r="F160" s="5" t="inlineStr"/>
      <c r="G160" s="5" t="inlineStr">
        <is>
          <t>S8</t>
        </is>
      </c>
      <c r="H160" s="5" t="inlineStr"/>
      <c r="I160" s="5" t="inlineStr"/>
      <c r="J160" s="5" t="inlineStr"/>
      <c r="K160" s="5" t="inlineStr"/>
      <c r="L160" s="5" t="inlineStr">
        <is>
          <t>Per-model checklist derived from G1 lessons; wave allocation agreed.</t>
        </is>
      </c>
    </row>
    <row r="161">
      <c r="A161" s="6" t="inlineStr">
        <is>
          <t>Task</t>
        </is>
      </c>
      <c r="B161" s="6" t="inlineStr">
        <is>
          <t>T-1001</t>
        </is>
      </c>
      <c r="C161" s="6" t="inlineStr">
        <is>
          <t>ST-1001</t>
        </is>
      </c>
      <c r="D161" s="6" t="inlineStr">
        <is>
          <t>E10</t>
        </is>
      </c>
      <c r="E161" s="6" t="inlineStr">
        <is>
          <t>Group 2 onboarding plan + per-model checklist from G1 lessons</t>
        </is>
      </c>
      <c r="F161" s="6" t="inlineStr">
        <is>
          <t>TL</t>
        </is>
      </c>
      <c r="G161" s="6" t="inlineStr">
        <is>
          <t>S8</t>
        </is>
      </c>
      <c r="H161" s="6" t="n">
        <v>1</v>
      </c>
      <c r="I161" s="6" t="inlineStr">
        <is>
          <t>T-0813</t>
        </is>
      </c>
      <c r="J161" s="6" t="inlineStr"/>
      <c r="K161" s="6" t="inlineStr">
        <is>
          <t>Planned</t>
        </is>
      </c>
      <c r="L161" s="6" t="inlineStr"/>
    </row>
    <row r="162">
      <c r="A162" s="5" t="inlineStr">
        <is>
          <t>Story</t>
        </is>
      </c>
      <c r="B162" s="5" t="inlineStr">
        <is>
          <t>ST-1002</t>
        </is>
      </c>
      <c r="C162" s="5" t="inlineStr">
        <is>
          <t>E10</t>
        </is>
      </c>
      <c r="D162" s="5" t="inlineStr">
        <is>
          <t>E10</t>
        </is>
      </c>
      <c r="E162" s="5" t="inlineStr">
        <is>
          <t>Wave 1: models 3-4</t>
        </is>
      </c>
      <c r="F162" s="5" t="inlineStr"/>
      <c r="G162" s="5" t="inlineStr">
        <is>
          <t>S9</t>
        </is>
      </c>
      <c r="H162" s="5" t="inlineStr"/>
      <c r="I162" s="5" t="inlineStr"/>
      <c r="J162" s="5" t="inlineStr"/>
      <c r="K162" s="5" t="inlineStr"/>
      <c r="L162" s="5" t="inlineStr">
        <is>
          <t>Both models scoring in prod, reconciled, PIR'd.</t>
        </is>
      </c>
    </row>
    <row r="163">
      <c r="A163" s="6" t="inlineStr">
        <is>
          <t>Task</t>
        </is>
      </c>
      <c r="B163" s="6" t="inlineStr">
        <is>
          <t>T-1002</t>
        </is>
      </c>
      <c r="C163" s="6" t="inlineStr">
        <is>
          <t>ST-1002</t>
        </is>
      </c>
      <c r="D163" s="6" t="inlineStr">
        <is>
          <t>E10</t>
        </is>
      </c>
      <c r="E163" s="6" t="inlineStr">
        <is>
          <t>Models 3-4: contracts + input schemas</t>
        </is>
      </c>
      <c r="F163" s="6" t="inlineStr">
        <is>
          <t>DE</t>
        </is>
      </c>
      <c r="G163" s="6" t="inlineStr">
        <is>
          <t>S9</t>
        </is>
      </c>
      <c r="H163" s="6" t="n">
        <v>1.5</v>
      </c>
      <c r="I163" s="6" t="inlineStr">
        <is>
          <t>T-1001</t>
        </is>
      </c>
      <c r="J163" s="6" t="inlineStr"/>
      <c r="K163" s="6" t="inlineStr">
        <is>
          <t>Planned</t>
        </is>
      </c>
      <c r="L163" s="6" t="inlineStr"/>
    </row>
    <row r="164">
      <c r="A164" s="6" t="inlineStr">
        <is>
          <t>Task</t>
        </is>
      </c>
      <c r="B164" s="6" t="inlineStr">
        <is>
          <t>T-1003</t>
        </is>
      </c>
      <c r="C164" s="6" t="inlineStr">
        <is>
          <t>ST-1002</t>
        </is>
      </c>
      <c r="D164" s="6" t="inlineStr">
        <is>
          <t>E10</t>
        </is>
      </c>
      <c r="E164" s="6" t="inlineStr">
        <is>
          <t>Models 3-4: review + optimize + package</t>
        </is>
      </c>
      <c r="F164" s="6" t="inlineStr">
        <is>
          <t>SAS</t>
        </is>
      </c>
      <c r="G164" s="6" t="inlineStr">
        <is>
          <t>S9</t>
        </is>
      </c>
      <c r="H164" s="6" t="n">
        <v>5</v>
      </c>
      <c r="I164" s="6" t="inlineStr">
        <is>
          <t>T-1001</t>
        </is>
      </c>
      <c r="J164" s="6" t="inlineStr"/>
      <c r="K164" s="6" t="inlineStr">
        <is>
          <t>Planned</t>
        </is>
      </c>
      <c r="L164" s="6" t="inlineStr"/>
    </row>
    <row r="165">
      <c r="A165" s="6" t="inlineStr">
        <is>
          <t>Task</t>
        </is>
      </c>
      <c r="B165" s="6" t="inlineStr">
        <is>
          <t>T-1004</t>
        </is>
      </c>
      <c r="C165" s="6" t="inlineStr">
        <is>
          <t>ST-1002</t>
        </is>
      </c>
      <c r="D165" s="6" t="inlineStr">
        <is>
          <t>E10</t>
        </is>
      </c>
      <c r="E165" s="6" t="inlineStr">
        <is>
          <t>Models 3-4: pipeline configs + schedules</t>
        </is>
      </c>
      <c r="F165" s="6" t="inlineStr">
        <is>
          <t>AWS</t>
        </is>
      </c>
      <c r="G165" s="6" t="inlineStr">
        <is>
          <t>S9</t>
        </is>
      </c>
      <c r="H165" s="6" t="n">
        <v>1</v>
      </c>
      <c r="I165" s="6" t="inlineStr">
        <is>
          <t>T-1003</t>
        </is>
      </c>
      <c r="J165" s="6" t="inlineStr"/>
      <c r="K165" s="6" t="inlineStr">
        <is>
          <t>Planned</t>
        </is>
      </c>
      <c r="L165" s="6" t="inlineStr"/>
    </row>
    <row r="166">
      <c r="A166" s="6" t="inlineStr">
        <is>
          <t>Task</t>
        </is>
      </c>
      <c r="B166" s="6" t="inlineStr">
        <is>
          <t>T-1005</t>
        </is>
      </c>
      <c r="C166" s="6" t="inlineStr">
        <is>
          <t>ST-1002</t>
        </is>
      </c>
      <c r="D166" s="6" t="inlineStr">
        <is>
          <t>E10</t>
        </is>
      </c>
      <c r="E166" s="6" t="inlineStr">
        <is>
          <t>Models 3-4: CI + monitoring wiring</t>
        </is>
      </c>
      <c r="F166" s="6" t="inlineStr">
        <is>
          <t>DevOps</t>
        </is>
      </c>
      <c r="G166" s="6" t="inlineStr">
        <is>
          <t>S9</t>
        </is>
      </c>
      <c r="H166" s="6" t="n">
        <v>0.5</v>
      </c>
      <c r="I166" s="6" t="inlineStr">
        <is>
          <t>T-1003</t>
        </is>
      </c>
      <c r="J166" s="6" t="inlineStr"/>
      <c r="K166" s="6" t="inlineStr">
        <is>
          <t>Planned</t>
        </is>
      </c>
      <c r="L166" s="6" t="inlineStr"/>
    </row>
    <row r="167">
      <c r="A167" s="6" t="inlineStr">
        <is>
          <t>Task</t>
        </is>
      </c>
      <c r="B167" s="6" t="inlineStr">
        <is>
          <t>T-1006</t>
        </is>
      </c>
      <c r="C167" s="6" t="inlineStr">
        <is>
          <t>ST-1002</t>
        </is>
      </c>
      <c r="D167" s="6" t="inlineStr">
        <is>
          <t>E10</t>
        </is>
      </c>
      <c r="E167" s="6" t="inlineStr">
        <is>
          <t>Models 3-4: reconcile + PIR</t>
        </is>
      </c>
      <c r="F167" s="6" t="inlineStr">
        <is>
          <t>SAS</t>
        </is>
      </c>
      <c r="G167" s="6" t="inlineStr">
        <is>
          <t>S9</t>
        </is>
      </c>
      <c r="H167" s="6" t="n">
        <v>1.5</v>
      </c>
      <c r="I167" s="6" t="inlineStr">
        <is>
          <t>T-1004</t>
        </is>
      </c>
      <c r="J167" s="6" t="inlineStr"/>
      <c r="K167" s="6" t="inlineStr">
        <is>
          <t>Planned</t>
        </is>
      </c>
      <c r="L167" s="6" t="inlineStr"/>
    </row>
    <row r="168">
      <c r="A168" s="6" t="inlineStr">
        <is>
          <t>Task</t>
        </is>
      </c>
      <c r="B168" s="6" t="inlineStr">
        <is>
          <t>T-1007</t>
        </is>
      </c>
      <c r="C168" s="6" t="inlineStr">
        <is>
          <t>ST-1002</t>
        </is>
      </c>
      <c r="D168" s="6" t="inlineStr">
        <is>
          <t>E10</t>
        </is>
      </c>
      <c r="E168" s="6" t="inlineStr">
        <is>
          <t>Models 3-4: DQ verification</t>
        </is>
      </c>
      <c r="F168" s="6" t="inlineStr">
        <is>
          <t>DE</t>
        </is>
      </c>
      <c r="G168" s="6" t="inlineStr">
        <is>
          <t>S9</t>
        </is>
      </c>
      <c r="H168" s="6" t="n">
        <v>0.5</v>
      </c>
      <c r="I168" s="6" t="inlineStr">
        <is>
          <t>T-1004</t>
        </is>
      </c>
      <c r="J168" s="6" t="inlineStr"/>
      <c r="K168" s="6" t="inlineStr">
        <is>
          <t>Planned</t>
        </is>
      </c>
      <c r="L168" s="6" t="inlineStr"/>
    </row>
    <row r="169">
      <c r="A169" s="5" t="inlineStr">
        <is>
          <t>Story</t>
        </is>
      </c>
      <c r="B169" s="5" t="inlineStr">
        <is>
          <t>ST-1003</t>
        </is>
      </c>
      <c r="C169" s="5" t="inlineStr">
        <is>
          <t>E10</t>
        </is>
      </c>
      <c r="D169" s="5" t="inlineStr">
        <is>
          <t>E10</t>
        </is>
      </c>
      <c r="E169" s="5" t="inlineStr">
        <is>
          <t>Wave 2: models 5-6</t>
        </is>
      </c>
      <c r="F169" s="5" t="inlineStr"/>
      <c r="G169" s="5" t="inlineStr">
        <is>
          <t>S10</t>
        </is>
      </c>
      <c r="H169" s="5" t="inlineStr"/>
      <c r="I169" s="5" t="inlineStr"/>
      <c r="J169" s="5" t="inlineStr"/>
      <c r="K169" s="5" t="inlineStr"/>
      <c r="L169" s="5" t="inlineStr">
        <is>
          <t>Same exit criteria.</t>
        </is>
      </c>
    </row>
    <row r="170">
      <c r="A170" s="6" t="inlineStr">
        <is>
          <t>Task</t>
        </is>
      </c>
      <c r="B170" s="6" t="inlineStr">
        <is>
          <t>T-1008</t>
        </is>
      </c>
      <c r="C170" s="6" t="inlineStr">
        <is>
          <t>ST-1003</t>
        </is>
      </c>
      <c r="D170" s="6" t="inlineStr">
        <is>
          <t>E10</t>
        </is>
      </c>
      <c r="E170" s="6" t="inlineStr">
        <is>
          <t>Models 5-6: contracts + input schemas</t>
        </is>
      </c>
      <c r="F170" s="6" t="inlineStr">
        <is>
          <t>DE</t>
        </is>
      </c>
      <c r="G170" s="6" t="inlineStr">
        <is>
          <t>S10</t>
        </is>
      </c>
      <c r="H170" s="6" t="n">
        <v>1.5</v>
      </c>
      <c r="I170" s="6" t="inlineStr">
        <is>
          <t>T-1001</t>
        </is>
      </c>
      <c r="J170" s="6" t="inlineStr"/>
      <c r="K170" s="6" t="inlineStr">
        <is>
          <t>Planned</t>
        </is>
      </c>
      <c r="L170" s="6" t="inlineStr"/>
    </row>
    <row r="171">
      <c r="A171" s="6" t="inlineStr">
        <is>
          <t>Task</t>
        </is>
      </c>
      <c r="B171" s="6" t="inlineStr">
        <is>
          <t>T-1009</t>
        </is>
      </c>
      <c r="C171" s="6" t="inlineStr">
        <is>
          <t>ST-1003</t>
        </is>
      </c>
      <c r="D171" s="6" t="inlineStr">
        <is>
          <t>E10</t>
        </is>
      </c>
      <c r="E171" s="6" t="inlineStr">
        <is>
          <t>Models 5-6: review + optimize + package</t>
        </is>
      </c>
      <c r="F171" s="6" t="inlineStr">
        <is>
          <t>SAS</t>
        </is>
      </c>
      <c r="G171" s="6" t="inlineStr">
        <is>
          <t>S10</t>
        </is>
      </c>
      <c r="H171" s="6" t="n">
        <v>5</v>
      </c>
      <c r="I171" s="6" t="inlineStr">
        <is>
          <t>T-1001</t>
        </is>
      </c>
      <c r="J171" s="6" t="inlineStr"/>
      <c r="K171" s="6" t="inlineStr">
        <is>
          <t>Planned</t>
        </is>
      </c>
      <c r="L171" s="6" t="inlineStr"/>
    </row>
    <row r="172">
      <c r="A172" s="6" t="inlineStr">
        <is>
          <t>Task</t>
        </is>
      </c>
      <c r="B172" s="6" t="inlineStr">
        <is>
          <t>T-1010</t>
        </is>
      </c>
      <c r="C172" s="6" t="inlineStr">
        <is>
          <t>ST-1003</t>
        </is>
      </c>
      <c r="D172" s="6" t="inlineStr">
        <is>
          <t>E10</t>
        </is>
      </c>
      <c r="E172" s="6" t="inlineStr">
        <is>
          <t>Models 5-6: pipeline configs + schedules</t>
        </is>
      </c>
      <c r="F172" s="6" t="inlineStr">
        <is>
          <t>AWS</t>
        </is>
      </c>
      <c r="G172" s="6" t="inlineStr">
        <is>
          <t>S10</t>
        </is>
      </c>
      <c r="H172" s="6" t="n">
        <v>1</v>
      </c>
      <c r="I172" s="6" t="inlineStr">
        <is>
          <t>T-1009</t>
        </is>
      </c>
      <c r="J172" s="6" t="inlineStr"/>
      <c r="K172" s="6" t="inlineStr">
        <is>
          <t>Planned</t>
        </is>
      </c>
      <c r="L172" s="6" t="inlineStr"/>
    </row>
    <row r="173">
      <c r="A173" s="6" t="inlineStr">
        <is>
          <t>Task</t>
        </is>
      </c>
      <c r="B173" s="6" t="inlineStr">
        <is>
          <t>T-1011</t>
        </is>
      </c>
      <c r="C173" s="6" t="inlineStr">
        <is>
          <t>ST-1003</t>
        </is>
      </c>
      <c r="D173" s="6" t="inlineStr">
        <is>
          <t>E10</t>
        </is>
      </c>
      <c r="E173" s="6" t="inlineStr">
        <is>
          <t>Models 5-6: CI + monitoring wiring</t>
        </is>
      </c>
      <c r="F173" s="6" t="inlineStr">
        <is>
          <t>DevOps</t>
        </is>
      </c>
      <c r="G173" s="6" t="inlineStr">
        <is>
          <t>S10</t>
        </is>
      </c>
      <c r="H173" s="6" t="n">
        <v>0.5</v>
      </c>
      <c r="I173" s="6" t="inlineStr">
        <is>
          <t>T-1009</t>
        </is>
      </c>
      <c r="J173" s="6" t="inlineStr"/>
      <c r="K173" s="6" t="inlineStr">
        <is>
          <t>Planned</t>
        </is>
      </c>
      <c r="L173" s="6" t="inlineStr"/>
    </row>
    <row r="174">
      <c r="A174" s="6" t="inlineStr">
        <is>
          <t>Task</t>
        </is>
      </c>
      <c r="B174" s="6" t="inlineStr">
        <is>
          <t>T-1012</t>
        </is>
      </c>
      <c r="C174" s="6" t="inlineStr">
        <is>
          <t>ST-1003</t>
        </is>
      </c>
      <c r="D174" s="6" t="inlineStr">
        <is>
          <t>E10</t>
        </is>
      </c>
      <c r="E174" s="6" t="inlineStr">
        <is>
          <t>Models 5-6: reconcile + PIR</t>
        </is>
      </c>
      <c r="F174" s="6" t="inlineStr">
        <is>
          <t>SAS</t>
        </is>
      </c>
      <c r="G174" s="6" t="inlineStr">
        <is>
          <t>S10</t>
        </is>
      </c>
      <c r="H174" s="6" t="n">
        <v>1.5</v>
      </c>
      <c r="I174" s="6" t="inlineStr">
        <is>
          <t>T-1010</t>
        </is>
      </c>
      <c r="J174" s="6" t="inlineStr"/>
      <c r="K174" s="6" t="inlineStr">
        <is>
          <t>Planned</t>
        </is>
      </c>
      <c r="L174" s="6" t="inlineStr"/>
    </row>
    <row r="175">
      <c r="A175" s="6" t="inlineStr">
        <is>
          <t>Task</t>
        </is>
      </c>
      <c r="B175" s="6" t="inlineStr">
        <is>
          <t>T-1013</t>
        </is>
      </c>
      <c r="C175" s="6" t="inlineStr">
        <is>
          <t>ST-1003</t>
        </is>
      </c>
      <c r="D175" s="6" t="inlineStr">
        <is>
          <t>E10</t>
        </is>
      </c>
      <c r="E175" s="6" t="inlineStr">
        <is>
          <t>Models 5-6: DQ verification</t>
        </is>
      </c>
      <c r="F175" s="6" t="inlineStr">
        <is>
          <t>DE</t>
        </is>
      </c>
      <c r="G175" s="6" t="inlineStr">
        <is>
          <t>S10</t>
        </is>
      </c>
      <c r="H175" s="6" t="n">
        <v>0.5</v>
      </c>
      <c r="I175" s="6" t="inlineStr">
        <is>
          <t>T-1010</t>
        </is>
      </c>
      <c r="J175" s="6" t="inlineStr"/>
      <c r="K175" s="6" t="inlineStr">
        <is>
          <t>Planned</t>
        </is>
      </c>
      <c r="L175" s="6" t="inlineStr"/>
    </row>
    <row r="176">
      <c r="A176" s="5" t="inlineStr">
        <is>
          <t>Story</t>
        </is>
      </c>
      <c r="B176" s="5" t="inlineStr">
        <is>
          <t>ST-1004</t>
        </is>
      </c>
      <c r="C176" s="5" t="inlineStr">
        <is>
          <t>E10</t>
        </is>
      </c>
      <c r="D176" s="5" t="inlineStr">
        <is>
          <t>E10</t>
        </is>
      </c>
      <c r="E176" s="5" t="inlineStr">
        <is>
          <t>Wave 3: models 7-8</t>
        </is>
      </c>
      <c r="F176" s="5" t="inlineStr"/>
      <c r="G176" s="5" t="inlineStr">
        <is>
          <t>S11</t>
        </is>
      </c>
      <c r="H176" s="5" t="inlineStr"/>
      <c r="I176" s="5" t="inlineStr"/>
      <c r="J176" s="5" t="inlineStr"/>
      <c r="K176" s="5" t="inlineStr"/>
      <c r="L176" s="5" t="inlineStr">
        <is>
          <t>Same exit criteria.</t>
        </is>
      </c>
    </row>
    <row r="177">
      <c r="A177" s="6" t="inlineStr">
        <is>
          <t>Task</t>
        </is>
      </c>
      <c r="B177" s="6" t="inlineStr">
        <is>
          <t>T-1014</t>
        </is>
      </c>
      <c r="C177" s="6" t="inlineStr">
        <is>
          <t>ST-1004</t>
        </is>
      </c>
      <c r="D177" s="6" t="inlineStr">
        <is>
          <t>E10</t>
        </is>
      </c>
      <c r="E177" s="6" t="inlineStr">
        <is>
          <t>Models 7-8: contracts + input schemas</t>
        </is>
      </c>
      <c r="F177" s="6" t="inlineStr">
        <is>
          <t>DE</t>
        </is>
      </c>
      <c r="G177" s="6" t="inlineStr">
        <is>
          <t>S11</t>
        </is>
      </c>
      <c r="H177" s="6" t="n">
        <v>1.5</v>
      </c>
      <c r="I177" s="6" t="inlineStr">
        <is>
          <t>T-1001</t>
        </is>
      </c>
      <c r="J177" s="6" t="inlineStr"/>
      <c r="K177" s="6" t="inlineStr">
        <is>
          <t>Planned</t>
        </is>
      </c>
      <c r="L177" s="6" t="inlineStr"/>
    </row>
    <row r="178">
      <c r="A178" s="6" t="inlineStr">
        <is>
          <t>Task</t>
        </is>
      </c>
      <c r="B178" s="6" t="inlineStr">
        <is>
          <t>T-1015</t>
        </is>
      </c>
      <c r="C178" s="6" t="inlineStr">
        <is>
          <t>ST-1004</t>
        </is>
      </c>
      <c r="D178" s="6" t="inlineStr">
        <is>
          <t>E10</t>
        </is>
      </c>
      <c r="E178" s="6" t="inlineStr">
        <is>
          <t>Models 7-8: review + optimize + package</t>
        </is>
      </c>
      <c r="F178" s="6" t="inlineStr">
        <is>
          <t>SAS</t>
        </is>
      </c>
      <c r="G178" s="6" t="inlineStr">
        <is>
          <t>S11</t>
        </is>
      </c>
      <c r="H178" s="6" t="n">
        <v>5</v>
      </c>
      <c r="I178" s="6" t="inlineStr">
        <is>
          <t>T-1001</t>
        </is>
      </c>
      <c r="J178" s="6" t="inlineStr"/>
      <c r="K178" s="6" t="inlineStr">
        <is>
          <t>Planned</t>
        </is>
      </c>
      <c r="L178" s="6" t="inlineStr"/>
    </row>
    <row r="179">
      <c r="A179" s="6" t="inlineStr">
        <is>
          <t>Task</t>
        </is>
      </c>
      <c r="B179" s="6" t="inlineStr">
        <is>
          <t>T-1016</t>
        </is>
      </c>
      <c r="C179" s="6" t="inlineStr">
        <is>
          <t>ST-1004</t>
        </is>
      </c>
      <c r="D179" s="6" t="inlineStr">
        <is>
          <t>E10</t>
        </is>
      </c>
      <c r="E179" s="6" t="inlineStr">
        <is>
          <t>Models 7-8: pipeline configs + schedules</t>
        </is>
      </c>
      <c r="F179" s="6" t="inlineStr">
        <is>
          <t>AWS</t>
        </is>
      </c>
      <c r="G179" s="6" t="inlineStr">
        <is>
          <t>S11</t>
        </is>
      </c>
      <c r="H179" s="6" t="n">
        <v>1</v>
      </c>
      <c r="I179" s="6" t="inlineStr">
        <is>
          <t>T-1015</t>
        </is>
      </c>
      <c r="J179" s="6" t="inlineStr"/>
      <c r="K179" s="6" t="inlineStr">
        <is>
          <t>Planned</t>
        </is>
      </c>
      <c r="L179" s="6" t="inlineStr"/>
    </row>
    <row r="180">
      <c r="A180" s="6" t="inlineStr">
        <is>
          <t>Task</t>
        </is>
      </c>
      <c r="B180" s="6" t="inlineStr">
        <is>
          <t>T-1017</t>
        </is>
      </c>
      <c r="C180" s="6" t="inlineStr">
        <is>
          <t>ST-1004</t>
        </is>
      </c>
      <c r="D180" s="6" t="inlineStr">
        <is>
          <t>E10</t>
        </is>
      </c>
      <c r="E180" s="6" t="inlineStr">
        <is>
          <t>Models 7-8: CI + monitoring wiring</t>
        </is>
      </c>
      <c r="F180" s="6" t="inlineStr">
        <is>
          <t>DevOps</t>
        </is>
      </c>
      <c r="G180" s="6" t="inlineStr">
        <is>
          <t>S11</t>
        </is>
      </c>
      <c r="H180" s="6" t="n">
        <v>0.5</v>
      </c>
      <c r="I180" s="6" t="inlineStr">
        <is>
          <t>T-1015</t>
        </is>
      </c>
      <c r="J180" s="6" t="inlineStr"/>
      <c r="K180" s="6" t="inlineStr">
        <is>
          <t>Planned</t>
        </is>
      </c>
      <c r="L180" s="6" t="inlineStr"/>
    </row>
    <row r="181">
      <c r="A181" s="6" t="inlineStr">
        <is>
          <t>Task</t>
        </is>
      </c>
      <c r="B181" s="6" t="inlineStr">
        <is>
          <t>T-1018</t>
        </is>
      </c>
      <c r="C181" s="6" t="inlineStr">
        <is>
          <t>ST-1004</t>
        </is>
      </c>
      <c r="D181" s="6" t="inlineStr">
        <is>
          <t>E10</t>
        </is>
      </c>
      <c r="E181" s="6" t="inlineStr">
        <is>
          <t>Models 7-8: reconcile + PIR</t>
        </is>
      </c>
      <c r="F181" s="6" t="inlineStr">
        <is>
          <t>SAS</t>
        </is>
      </c>
      <c r="G181" s="6" t="inlineStr">
        <is>
          <t>S11</t>
        </is>
      </c>
      <c r="H181" s="6" t="n">
        <v>1.5</v>
      </c>
      <c r="I181" s="6" t="inlineStr">
        <is>
          <t>T-1016</t>
        </is>
      </c>
      <c r="J181" s="6" t="inlineStr"/>
      <c r="K181" s="6" t="inlineStr">
        <is>
          <t>Planned</t>
        </is>
      </c>
      <c r="L181" s="6" t="inlineStr"/>
    </row>
    <row r="182">
      <c r="A182" s="6" t="inlineStr">
        <is>
          <t>Task</t>
        </is>
      </c>
      <c r="B182" s="6" t="inlineStr">
        <is>
          <t>T-1019</t>
        </is>
      </c>
      <c r="C182" s="6" t="inlineStr">
        <is>
          <t>ST-1004</t>
        </is>
      </c>
      <c r="D182" s="6" t="inlineStr">
        <is>
          <t>E10</t>
        </is>
      </c>
      <c r="E182" s="6" t="inlineStr">
        <is>
          <t>Models 7-8: DQ verification</t>
        </is>
      </c>
      <c r="F182" s="6" t="inlineStr">
        <is>
          <t>DE</t>
        </is>
      </c>
      <c r="G182" s="6" t="inlineStr">
        <is>
          <t>S11</t>
        </is>
      </c>
      <c r="H182" s="6" t="n">
        <v>0.5</v>
      </c>
      <c r="I182" s="6" t="inlineStr">
        <is>
          <t>T-1016</t>
        </is>
      </c>
      <c r="J182" s="6" t="inlineStr"/>
      <c r="K182" s="6" t="inlineStr">
        <is>
          <t>Planned</t>
        </is>
      </c>
      <c r="L182" s="6" t="inlineStr"/>
    </row>
    <row r="183">
      <c r="A183" s="5" t="inlineStr">
        <is>
          <t>Story</t>
        </is>
      </c>
      <c r="B183" s="5" t="inlineStr">
        <is>
          <t>ST-1005</t>
        </is>
      </c>
      <c r="C183" s="5" t="inlineStr">
        <is>
          <t>E10</t>
        </is>
      </c>
      <c r="D183" s="5" t="inlineStr">
        <is>
          <t>E10</t>
        </is>
      </c>
      <c r="E183" s="5" t="inlineStr">
        <is>
          <t>Wave 4: models 9-10 + Group 2 sign-off</t>
        </is>
      </c>
      <c r="F183" s="5" t="inlineStr"/>
      <c r="G183" s="5" t="inlineStr">
        <is>
          <t>S12</t>
        </is>
      </c>
      <c r="H183" s="5" t="inlineStr"/>
      <c r="I183" s="5" t="inlineStr"/>
      <c r="J183" s="5" t="inlineStr"/>
      <c r="K183" s="5" t="inlineStr"/>
      <c r="L183" s="5" t="inlineStr">
        <is>
          <t>All 10 models live; written Group 2 sign-off.</t>
        </is>
      </c>
    </row>
    <row r="184">
      <c r="A184" s="6" t="inlineStr">
        <is>
          <t>Task</t>
        </is>
      </c>
      <c r="B184" s="6" t="inlineStr">
        <is>
          <t>T-1020</t>
        </is>
      </c>
      <c r="C184" s="6" t="inlineStr">
        <is>
          <t>ST-1005</t>
        </is>
      </c>
      <c r="D184" s="6" t="inlineStr">
        <is>
          <t>E10</t>
        </is>
      </c>
      <c r="E184" s="6" t="inlineStr">
        <is>
          <t>Models 9-10: contracts + input schemas</t>
        </is>
      </c>
      <c r="F184" s="6" t="inlineStr">
        <is>
          <t>DE</t>
        </is>
      </c>
      <c r="G184" s="6" t="inlineStr">
        <is>
          <t>S12</t>
        </is>
      </c>
      <c r="H184" s="6" t="n">
        <v>1.5</v>
      </c>
      <c r="I184" s="6" t="inlineStr">
        <is>
          <t>T-1001</t>
        </is>
      </c>
      <c r="J184" s="6" t="inlineStr"/>
      <c r="K184" s="6" t="inlineStr">
        <is>
          <t>Planned</t>
        </is>
      </c>
      <c r="L184" s="6" t="inlineStr"/>
    </row>
    <row r="185">
      <c r="A185" s="6" t="inlineStr">
        <is>
          <t>Task</t>
        </is>
      </c>
      <c r="B185" s="6" t="inlineStr">
        <is>
          <t>T-1021</t>
        </is>
      </c>
      <c r="C185" s="6" t="inlineStr">
        <is>
          <t>ST-1005</t>
        </is>
      </c>
      <c r="D185" s="6" t="inlineStr">
        <is>
          <t>E10</t>
        </is>
      </c>
      <c r="E185" s="6" t="inlineStr">
        <is>
          <t>Models 9-10: review + optimize + package</t>
        </is>
      </c>
      <c r="F185" s="6" t="inlineStr">
        <is>
          <t>SAS</t>
        </is>
      </c>
      <c r="G185" s="6" t="inlineStr">
        <is>
          <t>S12</t>
        </is>
      </c>
      <c r="H185" s="6" t="n">
        <v>5</v>
      </c>
      <c r="I185" s="6" t="inlineStr">
        <is>
          <t>T-1001</t>
        </is>
      </c>
      <c r="J185" s="6" t="inlineStr"/>
      <c r="K185" s="6" t="inlineStr">
        <is>
          <t>Planned</t>
        </is>
      </c>
      <c r="L185" s="6" t="inlineStr"/>
    </row>
    <row r="186">
      <c r="A186" s="6" t="inlineStr">
        <is>
          <t>Task</t>
        </is>
      </c>
      <c r="B186" s="6" t="inlineStr">
        <is>
          <t>T-1022</t>
        </is>
      </c>
      <c r="C186" s="6" t="inlineStr">
        <is>
          <t>ST-1005</t>
        </is>
      </c>
      <c r="D186" s="6" t="inlineStr">
        <is>
          <t>E10</t>
        </is>
      </c>
      <c r="E186" s="6" t="inlineStr">
        <is>
          <t>Models 9-10: pipeline configs + schedules</t>
        </is>
      </c>
      <c r="F186" s="6" t="inlineStr">
        <is>
          <t>AWS</t>
        </is>
      </c>
      <c r="G186" s="6" t="inlineStr">
        <is>
          <t>S12</t>
        </is>
      </c>
      <c r="H186" s="6" t="n">
        <v>1</v>
      </c>
      <c r="I186" s="6" t="inlineStr">
        <is>
          <t>T-1021</t>
        </is>
      </c>
      <c r="J186" s="6" t="inlineStr"/>
      <c r="K186" s="6" t="inlineStr">
        <is>
          <t>Planned</t>
        </is>
      </c>
      <c r="L186" s="6" t="inlineStr"/>
    </row>
    <row r="187">
      <c r="A187" s="6" t="inlineStr">
        <is>
          <t>Task</t>
        </is>
      </c>
      <c r="B187" s="6" t="inlineStr">
        <is>
          <t>T-1023</t>
        </is>
      </c>
      <c r="C187" s="6" t="inlineStr">
        <is>
          <t>ST-1005</t>
        </is>
      </c>
      <c r="D187" s="6" t="inlineStr">
        <is>
          <t>E10</t>
        </is>
      </c>
      <c r="E187" s="6" t="inlineStr">
        <is>
          <t>Models 9-10: CI + monitoring wiring</t>
        </is>
      </c>
      <c r="F187" s="6" t="inlineStr">
        <is>
          <t>DevOps</t>
        </is>
      </c>
      <c r="G187" s="6" t="inlineStr">
        <is>
          <t>S12</t>
        </is>
      </c>
      <c r="H187" s="6" t="n">
        <v>0.5</v>
      </c>
      <c r="I187" s="6" t="inlineStr">
        <is>
          <t>T-1021</t>
        </is>
      </c>
      <c r="J187" s="6" t="inlineStr"/>
      <c r="K187" s="6" t="inlineStr">
        <is>
          <t>Planned</t>
        </is>
      </c>
      <c r="L187" s="6" t="inlineStr"/>
    </row>
    <row r="188">
      <c r="A188" s="6" t="inlineStr">
        <is>
          <t>Task</t>
        </is>
      </c>
      <c r="B188" s="6" t="inlineStr">
        <is>
          <t>T-1024</t>
        </is>
      </c>
      <c r="C188" s="6" t="inlineStr">
        <is>
          <t>ST-1005</t>
        </is>
      </c>
      <c r="D188" s="6" t="inlineStr">
        <is>
          <t>E10</t>
        </is>
      </c>
      <c r="E188" s="6" t="inlineStr">
        <is>
          <t>Models 9-10: reconcile + PIR</t>
        </is>
      </c>
      <c r="F188" s="6" t="inlineStr">
        <is>
          <t>SAS</t>
        </is>
      </c>
      <c r="G188" s="6" t="inlineStr">
        <is>
          <t>S12</t>
        </is>
      </c>
      <c r="H188" s="6" t="n">
        <v>1.5</v>
      </c>
      <c r="I188" s="6" t="inlineStr">
        <is>
          <t>T-1022</t>
        </is>
      </c>
      <c r="J188" s="6" t="inlineStr"/>
      <c r="K188" s="6" t="inlineStr">
        <is>
          <t>Planned</t>
        </is>
      </c>
      <c r="L188" s="6" t="inlineStr"/>
    </row>
    <row r="189">
      <c r="A189" s="6" t="inlineStr">
        <is>
          <t>Task</t>
        </is>
      </c>
      <c r="B189" s="6" t="inlineStr">
        <is>
          <t>T-1025</t>
        </is>
      </c>
      <c r="C189" s="6" t="inlineStr">
        <is>
          <t>ST-1005</t>
        </is>
      </c>
      <c r="D189" s="6" t="inlineStr">
        <is>
          <t>E10</t>
        </is>
      </c>
      <c r="E189" s="6" t="inlineStr">
        <is>
          <t>Group 2 sign-off pack + ABSA meeting</t>
        </is>
      </c>
      <c r="F189" s="6" t="inlineStr">
        <is>
          <t>TL</t>
        </is>
      </c>
      <c r="G189" s="6" t="inlineStr">
        <is>
          <t>S12</t>
        </is>
      </c>
      <c r="H189" s="6" t="n">
        <v>2</v>
      </c>
      <c r="I189" s="6" t="inlineStr">
        <is>
          <t>T-1024</t>
        </is>
      </c>
      <c r="J189" s="6" t="inlineStr"/>
      <c r="K189" s="6" t="inlineStr">
        <is>
          <t>Planned</t>
        </is>
      </c>
      <c r="L189" s="6" t="inlineStr">
        <is>
          <t>Closes initial onboarding scope</t>
        </is>
      </c>
    </row>
    <row r="190">
      <c r="A190" s="4" t="inlineStr">
        <is>
          <t>EPIC</t>
        </is>
      </c>
      <c r="B190" s="4" t="inlineStr">
        <is>
          <t>E11</t>
        </is>
      </c>
      <c r="C190" s="4" t="inlineStr"/>
      <c r="D190" s="4" t="inlineStr">
        <is>
          <t>E11</t>
        </is>
      </c>
      <c r="E190" s="4" t="inlineStr">
        <is>
          <t>Steady State &amp; Handover — Runbooks, support rota, service review cadence, handover, steady-state go-live.</t>
        </is>
      </c>
      <c r="F190" s="4" t="inlineStr">
        <is>
          <t>TL</t>
        </is>
      </c>
      <c r="G190" s="4" t="inlineStr">
        <is>
          <t>S11-S12</t>
        </is>
      </c>
      <c r="H190" s="4" t="inlineStr"/>
      <c r="I190" s="4" t="inlineStr"/>
      <c r="J190" s="4" t="inlineStr"/>
      <c r="K190" s="4" t="inlineStr"/>
      <c r="L190" s="4" t="inlineStr"/>
    </row>
    <row r="191">
      <c r="A191" s="5" t="inlineStr">
        <is>
          <t>Story</t>
        </is>
      </c>
      <c r="B191" s="5" t="inlineStr">
        <is>
          <t>ST-1101</t>
        </is>
      </c>
      <c r="C191" s="5" t="inlineStr">
        <is>
          <t>E11</t>
        </is>
      </c>
      <c r="D191" s="5" t="inlineStr">
        <is>
          <t>E11</t>
        </is>
      </c>
      <c r="E191" s="5" t="inlineStr">
        <is>
          <t>Runbooks &amp; support model</t>
        </is>
      </c>
      <c r="F191" s="5" t="inlineStr"/>
      <c r="G191" s="5" t="inlineStr">
        <is>
          <t>S11</t>
        </is>
      </c>
      <c r="H191" s="5" t="inlineStr"/>
      <c r="I191" s="5" t="inlineStr"/>
      <c r="J191" s="5" t="inlineStr"/>
      <c r="K191" s="5" t="inlineStr"/>
      <c r="L191" s="5" t="inlineStr">
        <is>
          <t>Incident/recovery/rollback runbooks; support rota + escalation matrix.</t>
        </is>
      </c>
    </row>
    <row r="192">
      <c r="A192" s="6" t="inlineStr">
        <is>
          <t>Task</t>
        </is>
      </c>
      <c r="B192" s="6" t="inlineStr">
        <is>
          <t>T-1101</t>
        </is>
      </c>
      <c r="C192" s="6" t="inlineStr">
        <is>
          <t>ST-1101</t>
        </is>
      </c>
      <c r="D192" s="6" t="inlineStr">
        <is>
          <t>E11</t>
        </is>
      </c>
      <c r="E192" s="6" t="inlineStr">
        <is>
          <t>Runbooks: incident, recovery, rollback per model family</t>
        </is>
      </c>
      <c r="F192" s="6" t="inlineStr">
        <is>
          <t>DevOps</t>
        </is>
      </c>
      <c r="G192" s="6" t="inlineStr">
        <is>
          <t>S11</t>
        </is>
      </c>
      <c r="H192" s="6" t="n">
        <v>3</v>
      </c>
      <c r="I192" s="6" t="inlineStr">
        <is>
          <t>T-0806</t>
        </is>
      </c>
      <c r="J192" s="6" t="inlineStr"/>
      <c r="K192" s="6" t="inlineStr">
        <is>
          <t>Planned</t>
        </is>
      </c>
      <c r="L192" s="6" t="inlineStr"/>
    </row>
    <row r="193">
      <c r="A193" s="6" t="inlineStr">
        <is>
          <t>Task</t>
        </is>
      </c>
      <c r="B193" s="6" t="inlineStr">
        <is>
          <t>T-1102</t>
        </is>
      </c>
      <c r="C193" s="6" t="inlineStr">
        <is>
          <t>ST-1101</t>
        </is>
      </c>
      <c r="D193" s="6" t="inlineStr">
        <is>
          <t>E11</t>
        </is>
      </c>
      <c r="E193" s="6" t="inlineStr">
        <is>
          <t>Support rota + escalation matrix</t>
        </is>
      </c>
      <c r="F193" s="6" t="inlineStr">
        <is>
          <t>TL</t>
        </is>
      </c>
      <c r="G193" s="6" t="inlineStr">
        <is>
          <t>S11</t>
        </is>
      </c>
      <c r="H193" s="6" t="n">
        <v>1</v>
      </c>
      <c r="I193" s="6" t="inlineStr">
        <is>
          <t>T-1101</t>
        </is>
      </c>
      <c r="J193" s="6" t="inlineStr"/>
      <c r="K193" s="6" t="inlineStr">
        <is>
          <t>Planned</t>
        </is>
      </c>
      <c r="L193" s="6" t="inlineStr"/>
    </row>
    <row r="194">
      <c r="A194" s="6" t="inlineStr">
        <is>
          <t>Task</t>
        </is>
      </c>
      <c r="B194" s="6" t="inlineStr">
        <is>
          <t>T-1103</t>
        </is>
      </c>
      <c r="C194" s="6" t="inlineStr">
        <is>
          <t>ST-1101</t>
        </is>
      </c>
      <c r="D194" s="6" t="inlineStr">
        <is>
          <t>E11</t>
        </is>
      </c>
      <c r="E194" s="6" t="inlineStr">
        <is>
          <t>Cost review + right-sizing pass</t>
        </is>
      </c>
      <c r="F194" s="6" t="inlineStr">
        <is>
          <t>AWS</t>
        </is>
      </c>
      <c r="G194" s="6" t="inlineStr">
        <is>
          <t>S11</t>
        </is>
      </c>
      <c r="H194" s="6" t="n">
        <v>2</v>
      </c>
      <c r="I194" s="6" t="inlineStr">
        <is>
          <t>T-0814</t>
        </is>
      </c>
      <c r="J194" s="6" t="inlineStr"/>
      <c r="K194" s="6" t="inlineStr">
        <is>
          <t>Planned</t>
        </is>
      </c>
      <c r="L194" s="6" t="inlineStr"/>
    </row>
    <row r="195">
      <c r="A195" s="5" t="inlineStr">
        <is>
          <t>Story</t>
        </is>
      </c>
      <c r="B195" s="5" t="inlineStr">
        <is>
          <t>ST-1102</t>
        </is>
      </c>
      <c r="C195" s="5" t="inlineStr">
        <is>
          <t>E11</t>
        </is>
      </c>
      <c r="D195" s="5" t="inlineStr">
        <is>
          <t>E11</t>
        </is>
      </c>
      <c r="E195" s="5" t="inlineStr">
        <is>
          <t>Handover &amp; go-live</t>
        </is>
      </c>
      <c r="F195" s="5" t="inlineStr"/>
      <c r="G195" s="5" t="inlineStr">
        <is>
          <t>S12</t>
        </is>
      </c>
      <c r="H195" s="5" t="inlineStr"/>
      <c r="I195" s="5" t="inlineStr"/>
      <c r="J195" s="5" t="inlineStr"/>
      <c r="K195" s="5" t="inlineStr"/>
      <c r="L195" s="5" t="inlineStr">
        <is>
          <t>Handover sessions done; service review cadence scheduled; steady-state checklist complete.</t>
        </is>
      </c>
    </row>
    <row r="196">
      <c r="A196" s="6" t="inlineStr">
        <is>
          <t>Task</t>
        </is>
      </c>
      <c r="B196" s="6" t="inlineStr">
        <is>
          <t>T-1104</t>
        </is>
      </c>
      <c r="C196" s="6" t="inlineStr">
        <is>
          <t>ST-1102</t>
        </is>
      </c>
      <c r="D196" s="6" t="inlineStr">
        <is>
          <t>E11</t>
        </is>
      </c>
      <c r="E196" s="6" t="inlineStr">
        <is>
          <t>Quarterly service review template + first review scheduled</t>
        </is>
      </c>
      <c r="F196" s="6" t="inlineStr">
        <is>
          <t>TL</t>
        </is>
      </c>
      <c r="G196" s="6" t="inlineStr">
        <is>
          <t>S12</t>
        </is>
      </c>
      <c r="H196" s="6" t="n">
        <v>1</v>
      </c>
      <c r="I196" s="6" t="inlineStr">
        <is>
          <t>T-1102</t>
        </is>
      </c>
      <c r="J196" s="6" t="inlineStr"/>
      <c r="K196" s="6" t="inlineStr">
        <is>
          <t>Planned</t>
        </is>
      </c>
      <c r="L196" s="6" t="inlineStr"/>
    </row>
    <row r="197">
      <c r="A197" s="6" t="inlineStr">
        <is>
          <t>Task</t>
        </is>
      </c>
      <c r="B197" s="6" t="inlineStr">
        <is>
          <t>T-1105</t>
        </is>
      </c>
      <c r="C197" s="6" t="inlineStr">
        <is>
          <t>ST-1102</t>
        </is>
      </c>
      <c r="D197" s="6" t="inlineStr">
        <is>
          <t>E11</t>
        </is>
      </c>
      <c r="E197" s="6" t="inlineStr">
        <is>
          <t>Handover sessions: ops team + ABSA</t>
        </is>
      </c>
      <c r="F197" s="6" t="inlineStr">
        <is>
          <t>TL</t>
        </is>
      </c>
      <c r="G197" s="6" t="inlineStr">
        <is>
          <t>S12</t>
        </is>
      </c>
      <c r="H197" s="6" t="n">
        <v>2</v>
      </c>
      <c r="I197" s="6" t="inlineStr">
        <is>
          <t>T-1101</t>
        </is>
      </c>
      <c r="J197" s="6" t="inlineStr"/>
      <c r="K197" s="6" t="inlineStr">
        <is>
          <t>Planned</t>
        </is>
      </c>
      <c r="L197" s="6" t="inlineStr"/>
    </row>
    <row r="198">
      <c r="A198" s="6" t="inlineStr">
        <is>
          <t>Task</t>
        </is>
      </c>
      <c r="B198" s="6" t="inlineStr">
        <is>
          <t>T-1106</t>
        </is>
      </c>
      <c r="C198" s="6" t="inlineStr">
        <is>
          <t>ST-1102</t>
        </is>
      </c>
      <c r="D198" s="6" t="inlineStr">
        <is>
          <t>E11</t>
        </is>
      </c>
      <c r="E198" s="6" t="inlineStr">
        <is>
          <t>Handover support + docs finalization</t>
        </is>
      </c>
      <c r="F198" s="6" t="inlineStr">
        <is>
          <t>DevOps</t>
        </is>
      </c>
      <c r="G198" s="6" t="inlineStr">
        <is>
          <t>S12</t>
        </is>
      </c>
      <c r="H198" s="6" t="n">
        <v>1</v>
      </c>
      <c r="I198" s="6" t="inlineStr">
        <is>
          <t>T-1105</t>
        </is>
      </c>
      <c r="J198" s="6" t="inlineStr"/>
      <c r="K198" s="6" t="inlineStr">
        <is>
          <t>Planned</t>
        </is>
      </c>
      <c r="L198" s="6" t="inlineStr"/>
    </row>
    <row r="199">
      <c r="A199" s="6" t="inlineStr">
        <is>
          <t>Task</t>
        </is>
      </c>
      <c r="B199" s="6" t="inlineStr">
        <is>
          <t>T-1107</t>
        </is>
      </c>
      <c r="C199" s="6" t="inlineStr">
        <is>
          <t>ST-1102</t>
        </is>
      </c>
      <c r="D199" s="6" t="inlineStr">
        <is>
          <t>E11</t>
        </is>
      </c>
      <c r="E199" s="6" t="inlineStr">
        <is>
          <t>Steady-state go-live checklist + cutover</t>
        </is>
      </c>
      <c r="F199" s="6" t="inlineStr">
        <is>
          <t>TL</t>
        </is>
      </c>
      <c r="G199" s="6" t="inlineStr">
        <is>
          <t>S12</t>
        </is>
      </c>
      <c r="H199" s="6" t="n">
        <v>1</v>
      </c>
      <c r="I199" s="6" t="inlineStr">
        <is>
          <t>T-1105</t>
        </is>
      </c>
      <c r="J199" s="6" t="inlineStr"/>
      <c r="K199" s="6" t="inlineStr">
        <is>
          <t>Planned</t>
        </is>
      </c>
      <c r="L199" s="6" t="inlineStr">
        <is>
          <t>Go-live ~Dec 1, 2026</t>
        </is>
      </c>
    </row>
  </sheetData>
  <autoFilter ref="A3:L1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72" customWidth="1" min="4" max="4"/>
    <col width="2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9" customWidth="1" min="11" max="11"/>
  </cols>
  <sheetData>
    <row r="1">
      <c r="A1" s="1" t="inlineStr">
        <is>
          <t>Sprint Plan — 12 x 2-week sprints</t>
        </is>
      </c>
    </row>
    <row r="3">
      <c r="A3" s="3" t="inlineStr">
        <is>
          <t>Sprint</t>
        </is>
      </c>
      <c r="B3" s="3" t="inlineStr">
        <is>
          <t>Start</t>
        </is>
      </c>
      <c r="C3" s="3" t="inlineStr">
        <is>
          <t>End</t>
        </is>
      </c>
      <c r="D3" s="3" t="inlineStr">
        <is>
          <t>Goal</t>
        </is>
      </c>
      <c r="E3" s="3" t="inlineStr">
        <is>
          <t>Milestone</t>
        </is>
      </c>
      <c r="F3" s="3" t="inlineStr">
        <is>
          <t>AWS (d)</t>
        </is>
      </c>
      <c r="G3" s="3" t="inlineStr">
        <is>
          <t>DE (d)</t>
        </is>
      </c>
      <c r="H3" s="3" t="inlineStr">
        <is>
          <t>SAS (d)</t>
        </is>
      </c>
      <c r="I3" s="3" t="inlineStr">
        <is>
          <t>DevOps (d)</t>
        </is>
      </c>
      <c r="J3" s="3" t="inlineStr">
        <is>
          <t>TL (d)</t>
        </is>
      </c>
      <c r="K3" s="3" t="inlineStr">
        <is>
          <t>Total (d)</t>
        </is>
      </c>
    </row>
    <row r="4">
      <c r="A4" s="8" t="inlineStr">
        <is>
          <t>S1</t>
        </is>
      </c>
      <c r="B4" s="9" t="n">
        <v>46188</v>
      </c>
      <c r="C4" s="9" t="n">
        <v>46199</v>
      </c>
      <c r="D4" s="6" t="inlineStr">
        <is>
          <t>Team onboarded; Jenkins identity decided; python-validate green on Jenkins; ABSA ask-list sent</t>
        </is>
      </c>
      <c r="E4" s="8" t="inlineStr"/>
      <c r="F4" s="10">
        <f>SUMIFS(Backlog!$H:$H,Backlog!$F:$F,"AWS",Backlog!$G:$G,"S1",Backlog!$A:$A,"Task")</f>
        <v/>
      </c>
      <c r="G4" s="10">
        <f>SUMIFS(Backlog!$H:$H,Backlog!$F:$F,"DE",Backlog!$G:$G,"S1",Backlog!$A:$A,"Task")</f>
        <v/>
      </c>
      <c r="H4" s="10">
        <f>SUMIFS(Backlog!$H:$H,Backlog!$F:$F,"SAS",Backlog!$G:$G,"S1",Backlog!$A:$A,"Task")</f>
        <v/>
      </c>
      <c r="I4" s="10">
        <f>SUMIFS(Backlog!$H:$H,Backlog!$F:$F,"DevOps",Backlog!$G:$G,"S1",Backlog!$A:$A,"Task")</f>
        <v/>
      </c>
      <c r="J4" s="10">
        <f>SUMIFS(Backlog!$H:$H,Backlog!$F:$F,"TL",Backlog!$G:$G,"S1",Backlog!$A:$A,"Task")</f>
        <v/>
      </c>
      <c r="K4" s="8">
        <f>SUM(F4:J4)</f>
        <v/>
      </c>
    </row>
    <row r="5">
      <c r="A5" s="8" t="inlineStr">
        <is>
          <t>S2</t>
        </is>
      </c>
      <c r="B5" s="9" t="n">
        <v>46202</v>
      </c>
      <c r="C5" s="9" t="n">
        <v>46213</v>
      </c>
      <c r="D5" s="6" t="inlineStr">
        <is>
          <t>All no-AWS Jenkins jobs live; AWS bootstrap applied; data contracts started; SAS model-1 review done</t>
        </is>
      </c>
      <c r="E5" s="8" t="inlineStr"/>
      <c r="F5" s="10">
        <f>SUMIFS(Backlog!$H:$H,Backlog!$F:$F,"AWS",Backlog!$G:$G,"S2",Backlog!$A:$A,"Task")</f>
        <v/>
      </c>
      <c r="G5" s="10">
        <f>SUMIFS(Backlog!$H:$H,Backlog!$F:$F,"DE",Backlog!$G:$G,"S2",Backlog!$A:$A,"Task")</f>
        <v/>
      </c>
      <c r="H5" s="10">
        <f>SUMIFS(Backlog!$H:$H,Backlog!$F:$F,"SAS",Backlog!$G:$G,"S2",Backlog!$A:$A,"Task")</f>
        <v/>
      </c>
      <c r="I5" s="10">
        <f>SUMIFS(Backlog!$H:$H,Backlog!$F:$F,"DevOps",Backlog!$G:$G,"S2",Backlog!$A:$A,"Task")</f>
        <v/>
      </c>
      <c r="J5" s="10">
        <f>SUMIFS(Backlog!$H:$H,Backlog!$F:$F,"TL",Backlog!$G:$G,"S2",Backlog!$A:$A,"Task")</f>
        <v/>
      </c>
      <c r="K5" s="8">
        <f>SUM(F5:J5)</f>
        <v/>
      </c>
    </row>
    <row r="6">
      <c r="A6" s="11" t="inlineStr">
        <is>
          <t>S3</t>
        </is>
      </c>
      <c r="B6" s="12" t="n">
        <v>46216</v>
      </c>
      <c r="C6" s="12" t="n">
        <v>46227</v>
      </c>
      <c r="D6" s="13" t="inlineStr">
        <is>
          <t>Jenkins cutover complete (GHA retired); signing foundation live on real AWS; model-1 optimized</t>
        </is>
      </c>
      <c r="E6" s="11" t="inlineStr">
        <is>
          <t>Jenkins is the sole CI gate</t>
        </is>
      </c>
      <c r="F6" s="14">
        <f>SUMIFS(Backlog!$H:$H,Backlog!$F:$F,"AWS",Backlog!$G:$G,"S3",Backlog!$A:$A,"Task")</f>
        <v/>
      </c>
      <c r="G6" s="14">
        <f>SUMIFS(Backlog!$H:$H,Backlog!$F:$F,"DE",Backlog!$G:$G,"S3",Backlog!$A:$A,"Task")</f>
        <v/>
      </c>
      <c r="H6" s="14">
        <f>SUMIFS(Backlog!$H:$H,Backlog!$F:$F,"SAS",Backlog!$G:$G,"S3",Backlog!$A:$A,"Task")</f>
        <v/>
      </c>
      <c r="I6" s="14">
        <f>SUMIFS(Backlog!$H:$H,Backlog!$F:$F,"DevOps",Backlog!$G:$G,"S3",Backlog!$A:$A,"Task")</f>
        <v/>
      </c>
      <c r="J6" s="14">
        <f>SUMIFS(Backlog!$H:$H,Backlog!$F:$F,"TL",Backlog!$G:$G,"S3",Backlog!$A:$A,"Task")</f>
        <v/>
      </c>
      <c r="K6" s="11">
        <f>SUM(F6:J6)</f>
        <v/>
      </c>
    </row>
    <row r="7">
      <c r="A7" s="11" t="inlineStr">
        <is>
          <t>S4</t>
        </is>
      </c>
      <c r="B7" s="12" t="n">
        <v>46230</v>
      </c>
      <c r="C7" s="12" t="n">
        <v>46241</v>
      </c>
      <c r="D7" s="13" t="inlineStr">
        <is>
          <t>Registry API live on Lambda (dev); replication path validated; model-1 packaged + validated</t>
        </is>
      </c>
      <c r="E7" s="11" t="inlineStr">
        <is>
          <t>Registry live in dev</t>
        </is>
      </c>
      <c r="F7" s="14">
        <f>SUMIFS(Backlog!$H:$H,Backlog!$F:$F,"AWS",Backlog!$G:$G,"S4",Backlog!$A:$A,"Task")</f>
        <v/>
      </c>
      <c r="G7" s="14">
        <f>SUMIFS(Backlog!$H:$H,Backlog!$F:$F,"DE",Backlog!$G:$G,"S4",Backlog!$A:$A,"Task")</f>
        <v/>
      </c>
      <c r="H7" s="14">
        <f>SUMIFS(Backlog!$H:$H,Backlog!$F:$F,"SAS",Backlog!$G:$G,"S4",Backlog!$A:$A,"Task")</f>
        <v/>
      </c>
      <c r="I7" s="14">
        <f>SUMIFS(Backlog!$H:$H,Backlog!$F:$F,"DevOps",Backlog!$G:$G,"S4",Backlog!$A:$A,"Task")</f>
        <v/>
      </c>
      <c r="J7" s="14">
        <f>SUMIFS(Backlog!$H:$H,Backlog!$F:$F,"TL",Backlog!$G:$G,"S4",Backlog!$A:$A,"Task")</f>
        <v/>
      </c>
      <c r="K7" s="11">
        <f>SUM(F7:J7)</f>
        <v/>
      </c>
    </row>
    <row r="8">
      <c r="A8" s="8" t="inlineStr">
        <is>
          <t>S5</t>
        </is>
      </c>
      <c r="B8" s="9" t="n">
        <v>46244</v>
      </c>
      <c r="C8" s="9" t="n">
        <v>46255</v>
      </c>
      <c r="D8" s="6" t="inlineStr">
        <is>
          <t>Step Functions executes model-1 in dev; PIR sync built; model-2 optimized</t>
        </is>
      </c>
      <c r="E8" s="8" t="inlineStr"/>
      <c r="F8" s="10">
        <f>SUMIFS(Backlog!$H:$H,Backlog!$F:$F,"AWS",Backlog!$G:$G,"S5",Backlog!$A:$A,"Task")</f>
        <v/>
      </c>
      <c r="G8" s="10">
        <f>SUMIFS(Backlog!$H:$H,Backlog!$F:$F,"DE",Backlog!$G:$G,"S5",Backlog!$A:$A,"Task")</f>
        <v/>
      </c>
      <c r="H8" s="10">
        <f>SUMIFS(Backlog!$H:$H,Backlog!$F:$F,"SAS",Backlog!$G:$G,"S5",Backlog!$A:$A,"Task")</f>
        <v/>
      </c>
      <c r="I8" s="10">
        <f>SUMIFS(Backlog!$H:$H,Backlog!$F:$F,"DevOps",Backlog!$G:$G,"S5",Backlog!$A:$A,"Task")</f>
        <v/>
      </c>
      <c r="J8" s="10">
        <f>SUMIFS(Backlog!$H:$H,Backlog!$F:$F,"TL",Backlog!$G:$G,"S5",Backlog!$A:$A,"Task")</f>
        <v/>
      </c>
      <c r="K8" s="8">
        <f>SUM(F8:J8)</f>
        <v/>
      </c>
    </row>
    <row r="9">
      <c r="A9" s="11" t="inlineStr">
        <is>
          <t>S6</t>
        </is>
      </c>
      <c r="B9" s="12" t="n">
        <v>46258</v>
      </c>
      <c r="C9" s="12" t="n">
        <v>46269</v>
      </c>
      <c r="D9" s="13" t="inlineStr">
        <is>
          <t>DRESS REHEARSAL: full chain on real AWS for models 1-2; dashboards started</t>
        </is>
      </c>
      <c r="E9" s="11" t="inlineStr">
        <is>
          <t>Dress rehearsal pass</t>
        </is>
      </c>
      <c r="F9" s="14">
        <f>SUMIFS(Backlog!$H:$H,Backlog!$F:$F,"AWS",Backlog!$G:$G,"S6",Backlog!$A:$A,"Task")</f>
        <v/>
      </c>
      <c r="G9" s="14">
        <f>SUMIFS(Backlog!$H:$H,Backlog!$F:$F,"DE",Backlog!$G:$G,"S6",Backlog!$A:$A,"Task")</f>
        <v/>
      </c>
      <c r="H9" s="14">
        <f>SUMIFS(Backlog!$H:$H,Backlog!$F:$F,"SAS",Backlog!$G:$G,"S6",Backlog!$A:$A,"Task")</f>
        <v/>
      </c>
      <c r="I9" s="14">
        <f>SUMIFS(Backlog!$H:$H,Backlog!$F:$F,"DevOps",Backlog!$G:$G,"S6",Backlog!$A:$A,"Task")</f>
        <v/>
      </c>
      <c r="J9" s="14">
        <f>SUMIFS(Backlog!$H:$H,Backlog!$F:$F,"TL",Backlog!$G:$G,"S6",Backlog!$A:$A,"Task")</f>
        <v/>
      </c>
      <c r="K9" s="11">
        <f>SUM(F9:J9)</f>
        <v/>
      </c>
    </row>
    <row r="10">
      <c r="A10" s="8" t="inlineStr">
        <is>
          <t>S7</t>
        </is>
      </c>
      <c r="B10" s="9" t="n">
        <v>46272</v>
      </c>
      <c r="C10" s="9" t="n">
        <v>46283</v>
      </c>
      <c r="D10" s="6" t="inlineStr">
        <is>
          <t>Group 1 initial production scoring; reconciliation vs benchmarks; defect cycle</t>
        </is>
      </c>
      <c r="E10" s="8" t="inlineStr"/>
      <c r="F10" s="10">
        <f>SUMIFS(Backlog!$H:$H,Backlog!$F:$F,"AWS",Backlog!$G:$G,"S7",Backlog!$A:$A,"Task")</f>
        <v/>
      </c>
      <c r="G10" s="10">
        <f>SUMIFS(Backlog!$H:$H,Backlog!$F:$F,"DE",Backlog!$G:$G,"S7",Backlog!$A:$A,"Task")</f>
        <v/>
      </c>
      <c r="H10" s="10">
        <f>SUMIFS(Backlog!$H:$H,Backlog!$F:$F,"SAS",Backlog!$G:$G,"S7",Backlog!$A:$A,"Task")</f>
        <v/>
      </c>
      <c r="I10" s="10">
        <f>SUMIFS(Backlog!$H:$H,Backlog!$F:$F,"DevOps",Backlog!$G:$G,"S7",Backlog!$A:$A,"Task")</f>
        <v/>
      </c>
      <c r="J10" s="10">
        <f>SUMIFS(Backlog!$H:$H,Backlog!$F:$F,"TL",Backlog!$G:$G,"S7",Backlog!$A:$A,"Task")</f>
        <v/>
      </c>
      <c r="K10" s="8">
        <f>SUM(F10:J10)</f>
        <v/>
      </c>
    </row>
    <row r="11">
      <c r="A11" s="11" t="inlineStr">
        <is>
          <t>S8</t>
        </is>
      </c>
      <c r="B11" s="12" t="n">
        <v>46286</v>
      </c>
      <c r="C11" s="12" t="n">
        <v>46297</v>
      </c>
      <c r="D11" s="13" t="inlineStr">
        <is>
          <t>GROUP 1 ABSA SIGN-OFF; Group 2 wave planning starts</t>
        </is>
      </c>
      <c r="E11" s="11" t="inlineStr">
        <is>
          <t>*** GROUP 1 SIGN-OFF ***</t>
        </is>
      </c>
      <c r="F11" s="14">
        <f>SUMIFS(Backlog!$H:$H,Backlog!$F:$F,"AWS",Backlog!$G:$G,"S8",Backlog!$A:$A,"Task")</f>
        <v/>
      </c>
      <c r="G11" s="14">
        <f>SUMIFS(Backlog!$H:$H,Backlog!$F:$F,"DE",Backlog!$G:$G,"S8",Backlog!$A:$A,"Task")</f>
        <v/>
      </c>
      <c r="H11" s="14">
        <f>SUMIFS(Backlog!$H:$H,Backlog!$F:$F,"SAS",Backlog!$G:$G,"S8",Backlog!$A:$A,"Task")</f>
        <v/>
      </c>
      <c r="I11" s="14">
        <f>SUMIFS(Backlog!$H:$H,Backlog!$F:$F,"DevOps",Backlog!$G:$G,"S8",Backlog!$A:$A,"Task")</f>
        <v/>
      </c>
      <c r="J11" s="14">
        <f>SUMIFS(Backlog!$H:$H,Backlog!$F:$F,"TL",Backlog!$G:$G,"S8",Backlog!$A:$A,"Task")</f>
        <v/>
      </c>
      <c r="K11" s="11">
        <f>SUM(F11:J11)</f>
        <v/>
      </c>
    </row>
    <row r="12">
      <c r="A12" s="8" t="inlineStr">
        <is>
          <t>S9</t>
        </is>
      </c>
      <c r="B12" s="9" t="n">
        <v>46300</v>
      </c>
      <c r="C12" s="9" t="n">
        <v>46311</v>
      </c>
      <c r="D12" s="6" t="inlineStr">
        <is>
          <t>Group 2 wave 1 (models 3-4) live; dashboards validated with ABSA</t>
        </is>
      </c>
      <c r="E12" s="8" t="inlineStr"/>
      <c r="F12" s="10">
        <f>SUMIFS(Backlog!$H:$H,Backlog!$F:$F,"AWS",Backlog!$G:$G,"S9",Backlog!$A:$A,"Task")</f>
        <v/>
      </c>
      <c r="G12" s="10">
        <f>SUMIFS(Backlog!$H:$H,Backlog!$F:$F,"DE",Backlog!$G:$G,"S9",Backlog!$A:$A,"Task")</f>
        <v/>
      </c>
      <c r="H12" s="10">
        <f>SUMIFS(Backlog!$H:$H,Backlog!$F:$F,"SAS",Backlog!$G:$G,"S9",Backlog!$A:$A,"Task")</f>
        <v/>
      </c>
      <c r="I12" s="10">
        <f>SUMIFS(Backlog!$H:$H,Backlog!$F:$F,"DevOps",Backlog!$G:$G,"S9",Backlog!$A:$A,"Task")</f>
        <v/>
      </c>
      <c r="J12" s="10">
        <f>SUMIFS(Backlog!$H:$H,Backlog!$F:$F,"TL",Backlog!$G:$G,"S9",Backlog!$A:$A,"Task")</f>
        <v/>
      </c>
      <c r="K12" s="8">
        <f>SUM(F12:J12)</f>
        <v/>
      </c>
    </row>
    <row r="13">
      <c r="A13" s="8" t="inlineStr">
        <is>
          <t>S10</t>
        </is>
      </c>
      <c r="B13" s="9" t="n">
        <v>46314</v>
      </c>
      <c r="C13" s="9" t="n">
        <v>46325</v>
      </c>
      <c r="D13" s="6" t="inlineStr">
        <is>
          <t>Group 2 wave 2 (models 5-6) live; output delivery automated</t>
        </is>
      </c>
      <c r="E13" s="8" t="inlineStr"/>
      <c r="F13" s="10">
        <f>SUMIFS(Backlog!$H:$H,Backlog!$F:$F,"AWS",Backlog!$G:$G,"S10",Backlog!$A:$A,"Task")</f>
        <v/>
      </c>
      <c r="G13" s="10">
        <f>SUMIFS(Backlog!$H:$H,Backlog!$F:$F,"DE",Backlog!$G:$G,"S10",Backlog!$A:$A,"Task")</f>
        <v/>
      </c>
      <c r="H13" s="10">
        <f>SUMIFS(Backlog!$H:$H,Backlog!$F:$F,"SAS",Backlog!$G:$G,"S10",Backlog!$A:$A,"Task")</f>
        <v/>
      </c>
      <c r="I13" s="10">
        <f>SUMIFS(Backlog!$H:$H,Backlog!$F:$F,"DevOps",Backlog!$G:$G,"S10",Backlog!$A:$A,"Task")</f>
        <v/>
      </c>
      <c r="J13" s="10">
        <f>SUMIFS(Backlog!$H:$H,Backlog!$F:$F,"TL",Backlog!$G:$G,"S10",Backlog!$A:$A,"Task")</f>
        <v/>
      </c>
      <c r="K13" s="8">
        <f>SUM(F13:J13)</f>
        <v/>
      </c>
    </row>
    <row r="14">
      <c r="A14" s="8" t="inlineStr">
        <is>
          <t>S11</t>
        </is>
      </c>
      <c r="B14" s="9" t="n">
        <v>46328</v>
      </c>
      <c r="C14" s="9" t="n">
        <v>46339</v>
      </c>
      <c r="D14" s="6" t="inlineStr">
        <is>
          <t>Group 2 wave 3 (models 7-8) live; runbooks + support rota</t>
        </is>
      </c>
      <c r="E14" s="8" t="inlineStr"/>
      <c r="F14" s="10">
        <f>SUMIFS(Backlog!$H:$H,Backlog!$F:$F,"AWS",Backlog!$G:$G,"S11",Backlog!$A:$A,"Task")</f>
        <v/>
      </c>
      <c r="G14" s="10">
        <f>SUMIFS(Backlog!$H:$H,Backlog!$F:$F,"DE",Backlog!$G:$G,"S11",Backlog!$A:$A,"Task")</f>
        <v/>
      </c>
      <c r="H14" s="10">
        <f>SUMIFS(Backlog!$H:$H,Backlog!$F:$F,"SAS",Backlog!$G:$G,"S11",Backlog!$A:$A,"Task")</f>
        <v/>
      </c>
      <c r="I14" s="10">
        <f>SUMIFS(Backlog!$H:$H,Backlog!$F:$F,"DevOps",Backlog!$G:$G,"S11",Backlog!$A:$A,"Task")</f>
        <v/>
      </c>
      <c r="J14" s="10">
        <f>SUMIFS(Backlog!$H:$H,Backlog!$F:$F,"TL",Backlog!$G:$G,"S11",Backlog!$A:$A,"Task")</f>
        <v/>
      </c>
      <c r="K14" s="8">
        <f>SUM(F14:J14)</f>
        <v/>
      </c>
    </row>
    <row r="15">
      <c r="A15" s="11" t="inlineStr">
        <is>
          <t>S12</t>
        </is>
      </c>
      <c r="B15" s="12" t="n">
        <v>46342</v>
      </c>
      <c r="C15" s="12" t="n">
        <v>46353</v>
      </c>
      <c r="D15" s="13" t="inlineStr">
        <is>
          <t>Group 2 wave 4 (models 9-10) live; GROUP 2 SIGN-OFF; handover; steady-state go-live</t>
        </is>
      </c>
      <c r="E15" s="11" t="inlineStr">
        <is>
          <t>*** GROUP 2 SIGN-OFF + GO-LIVE ***</t>
        </is>
      </c>
      <c r="F15" s="14">
        <f>SUMIFS(Backlog!$H:$H,Backlog!$F:$F,"AWS",Backlog!$G:$G,"S12",Backlog!$A:$A,"Task")</f>
        <v/>
      </c>
      <c r="G15" s="14">
        <f>SUMIFS(Backlog!$H:$H,Backlog!$F:$F,"DE",Backlog!$G:$G,"S12",Backlog!$A:$A,"Task")</f>
        <v/>
      </c>
      <c r="H15" s="14">
        <f>SUMIFS(Backlog!$H:$H,Backlog!$F:$F,"SAS",Backlog!$G:$G,"S12",Backlog!$A:$A,"Task")</f>
        <v/>
      </c>
      <c r="I15" s="14">
        <f>SUMIFS(Backlog!$H:$H,Backlog!$F:$F,"DevOps",Backlog!$G:$G,"S12",Backlog!$A:$A,"Task")</f>
        <v/>
      </c>
      <c r="J15" s="14">
        <f>SUMIFS(Backlog!$H:$H,Backlog!$F:$F,"TL",Backlog!$G:$G,"S12",Backlog!$A:$A,"Task")</f>
        <v/>
      </c>
      <c r="K15" s="11">
        <f>SUM(F15:J15)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</cols>
  <sheetData>
    <row r="1">
      <c r="A1" s="1" t="inlineStr">
        <is>
          <t>Role Load vs Capacity (effort-days per sprint)</t>
        </is>
      </c>
    </row>
    <row r="3">
      <c r="A3" s="3" t="inlineStr">
        <is>
          <t>Role</t>
        </is>
      </c>
      <c r="B3" s="3" t="inlineStr">
        <is>
          <t>Capacity</t>
        </is>
      </c>
      <c r="C3" s="3" t="inlineStr">
        <is>
          <t>S1</t>
        </is>
      </c>
      <c r="D3" s="3" t="inlineStr">
        <is>
          <t>S2</t>
        </is>
      </c>
      <c r="E3" s="3" t="inlineStr">
        <is>
          <t>S3</t>
        </is>
      </c>
      <c r="F3" s="3" t="inlineStr">
        <is>
          <t>S4</t>
        </is>
      </c>
      <c r="G3" s="3" t="inlineStr">
        <is>
          <t>S5</t>
        </is>
      </c>
      <c r="H3" s="3" t="inlineStr">
        <is>
          <t>S6</t>
        </is>
      </c>
      <c r="I3" s="3" t="inlineStr">
        <is>
          <t>S7</t>
        </is>
      </c>
      <c r="J3" s="3" t="inlineStr">
        <is>
          <t>S8</t>
        </is>
      </c>
      <c r="K3" s="3" t="inlineStr">
        <is>
          <t>S9</t>
        </is>
      </c>
      <c r="L3" s="3" t="inlineStr">
        <is>
          <t>S10</t>
        </is>
      </c>
      <c r="M3" s="3" t="inlineStr">
        <is>
          <t>S11</t>
        </is>
      </c>
      <c r="N3" s="3" t="inlineStr">
        <is>
          <t>S12</t>
        </is>
      </c>
    </row>
    <row r="4">
      <c r="A4" s="8" t="inlineStr">
        <is>
          <t>AWS — AWS / MLOps Engineer</t>
        </is>
      </c>
      <c r="B4" s="15" t="n">
        <v>8</v>
      </c>
      <c r="C4" s="16">
        <f>SUMIFS(Backlog!$H:$H,Backlog!$F:$F,"AWS",Backlog!$G:$G,"S1",Backlog!$A:$A,"Task")</f>
        <v/>
      </c>
      <c r="D4" s="16">
        <f>SUMIFS(Backlog!$H:$H,Backlog!$F:$F,"AWS",Backlog!$G:$G,"S2",Backlog!$A:$A,"Task")</f>
        <v/>
      </c>
      <c r="E4" s="16">
        <f>SUMIFS(Backlog!$H:$H,Backlog!$F:$F,"AWS",Backlog!$G:$G,"S3",Backlog!$A:$A,"Task")</f>
        <v/>
      </c>
      <c r="F4" s="16">
        <f>SUMIFS(Backlog!$H:$H,Backlog!$F:$F,"AWS",Backlog!$G:$G,"S4",Backlog!$A:$A,"Task")</f>
        <v/>
      </c>
      <c r="G4" s="16">
        <f>SUMIFS(Backlog!$H:$H,Backlog!$F:$F,"AWS",Backlog!$G:$G,"S5",Backlog!$A:$A,"Task")</f>
        <v/>
      </c>
      <c r="H4" s="16">
        <f>SUMIFS(Backlog!$H:$H,Backlog!$F:$F,"AWS",Backlog!$G:$G,"S6",Backlog!$A:$A,"Task")</f>
        <v/>
      </c>
      <c r="I4" s="16">
        <f>SUMIFS(Backlog!$H:$H,Backlog!$F:$F,"AWS",Backlog!$G:$G,"S7",Backlog!$A:$A,"Task")</f>
        <v/>
      </c>
      <c r="J4" s="16">
        <f>SUMIFS(Backlog!$H:$H,Backlog!$F:$F,"AWS",Backlog!$G:$G,"S8",Backlog!$A:$A,"Task")</f>
        <v/>
      </c>
      <c r="K4" s="16">
        <f>SUMIFS(Backlog!$H:$H,Backlog!$F:$F,"AWS",Backlog!$G:$G,"S9",Backlog!$A:$A,"Task")</f>
        <v/>
      </c>
      <c r="L4" s="16">
        <f>SUMIFS(Backlog!$H:$H,Backlog!$F:$F,"AWS",Backlog!$G:$G,"S10",Backlog!$A:$A,"Task")</f>
        <v/>
      </c>
      <c r="M4" s="16">
        <f>SUMIFS(Backlog!$H:$H,Backlog!$F:$F,"AWS",Backlog!$G:$G,"S11",Backlog!$A:$A,"Task")</f>
        <v/>
      </c>
      <c r="N4" s="16">
        <f>SUMIFS(Backlog!$H:$H,Backlog!$F:$F,"AWS",Backlog!$G:$G,"S12",Backlog!$A:$A,"Task")</f>
        <v/>
      </c>
    </row>
    <row r="5">
      <c r="A5" s="8" t="inlineStr">
        <is>
          <t>DE — Data Engineer</t>
        </is>
      </c>
      <c r="B5" s="15" t="n">
        <v>8</v>
      </c>
      <c r="C5" s="16">
        <f>SUMIFS(Backlog!$H:$H,Backlog!$F:$F,"DE",Backlog!$G:$G,"S1",Backlog!$A:$A,"Task")</f>
        <v/>
      </c>
      <c r="D5" s="16">
        <f>SUMIFS(Backlog!$H:$H,Backlog!$F:$F,"DE",Backlog!$G:$G,"S2",Backlog!$A:$A,"Task")</f>
        <v/>
      </c>
      <c r="E5" s="16">
        <f>SUMIFS(Backlog!$H:$H,Backlog!$F:$F,"DE",Backlog!$G:$G,"S3",Backlog!$A:$A,"Task")</f>
        <v/>
      </c>
      <c r="F5" s="16">
        <f>SUMIFS(Backlog!$H:$H,Backlog!$F:$F,"DE",Backlog!$G:$G,"S4",Backlog!$A:$A,"Task")</f>
        <v/>
      </c>
      <c r="G5" s="16">
        <f>SUMIFS(Backlog!$H:$H,Backlog!$F:$F,"DE",Backlog!$G:$G,"S5",Backlog!$A:$A,"Task")</f>
        <v/>
      </c>
      <c r="H5" s="16">
        <f>SUMIFS(Backlog!$H:$H,Backlog!$F:$F,"DE",Backlog!$G:$G,"S6",Backlog!$A:$A,"Task")</f>
        <v/>
      </c>
      <c r="I5" s="16">
        <f>SUMIFS(Backlog!$H:$H,Backlog!$F:$F,"DE",Backlog!$G:$G,"S7",Backlog!$A:$A,"Task")</f>
        <v/>
      </c>
      <c r="J5" s="16">
        <f>SUMIFS(Backlog!$H:$H,Backlog!$F:$F,"DE",Backlog!$G:$G,"S8",Backlog!$A:$A,"Task")</f>
        <v/>
      </c>
      <c r="K5" s="16">
        <f>SUMIFS(Backlog!$H:$H,Backlog!$F:$F,"DE",Backlog!$G:$G,"S9",Backlog!$A:$A,"Task")</f>
        <v/>
      </c>
      <c r="L5" s="16">
        <f>SUMIFS(Backlog!$H:$H,Backlog!$F:$F,"DE",Backlog!$G:$G,"S10",Backlog!$A:$A,"Task")</f>
        <v/>
      </c>
      <c r="M5" s="16">
        <f>SUMIFS(Backlog!$H:$H,Backlog!$F:$F,"DE",Backlog!$G:$G,"S11",Backlog!$A:$A,"Task")</f>
        <v/>
      </c>
      <c r="N5" s="16">
        <f>SUMIFS(Backlog!$H:$H,Backlog!$F:$F,"DE",Backlog!$G:$G,"S12",Backlog!$A:$A,"Task")</f>
        <v/>
      </c>
    </row>
    <row r="6">
      <c r="A6" s="8" t="inlineStr">
        <is>
          <t>SAS — SAS Developer</t>
        </is>
      </c>
      <c r="B6" s="15" t="n">
        <v>8</v>
      </c>
      <c r="C6" s="16">
        <f>SUMIFS(Backlog!$H:$H,Backlog!$F:$F,"SAS",Backlog!$G:$G,"S1",Backlog!$A:$A,"Task")</f>
        <v/>
      </c>
      <c r="D6" s="16">
        <f>SUMIFS(Backlog!$H:$H,Backlog!$F:$F,"SAS",Backlog!$G:$G,"S2",Backlog!$A:$A,"Task")</f>
        <v/>
      </c>
      <c r="E6" s="16">
        <f>SUMIFS(Backlog!$H:$H,Backlog!$F:$F,"SAS",Backlog!$G:$G,"S3",Backlog!$A:$A,"Task")</f>
        <v/>
      </c>
      <c r="F6" s="16">
        <f>SUMIFS(Backlog!$H:$H,Backlog!$F:$F,"SAS",Backlog!$G:$G,"S4",Backlog!$A:$A,"Task")</f>
        <v/>
      </c>
      <c r="G6" s="16">
        <f>SUMIFS(Backlog!$H:$H,Backlog!$F:$F,"SAS",Backlog!$G:$G,"S5",Backlog!$A:$A,"Task")</f>
        <v/>
      </c>
      <c r="H6" s="16">
        <f>SUMIFS(Backlog!$H:$H,Backlog!$F:$F,"SAS",Backlog!$G:$G,"S6",Backlog!$A:$A,"Task")</f>
        <v/>
      </c>
      <c r="I6" s="16">
        <f>SUMIFS(Backlog!$H:$H,Backlog!$F:$F,"SAS",Backlog!$G:$G,"S7",Backlog!$A:$A,"Task")</f>
        <v/>
      </c>
      <c r="J6" s="16">
        <f>SUMIFS(Backlog!$H:$H,Backlog!$F:$F,"SAS",Backlog!$G:$G,"S8",Backlog!$A:$A,"Task")</f>
        <v/>
      </c>
      <c r="K6" s="16">
        <f>SUMIFS(Backlog!$H:$H,Backlog!$F:$F,"SAS",Backlog!$G:$G,"S9",Backlog!$A:$A,"Task")</f>
        <v/>
      </c>
      <c r="L6" s="16">
        <f>SUMIFS(Backlog!$H:$H,Backlog!$F:$F,"SAS",Backlog!$G:$G,"S10",Backlog!$A:$A,"Task")</f>
        <v/>
      </c>
      <c r="M6" s="16">
        <f>SUMIFS(Backlog!$H:$H,Backlog!$F:$F,"SAS",Backlog!$G:$G,"S11",Backlog!$A:$A,"Task")</f>
        <v/>
      </c>
      <c r="N6" s="16">
        <f>SUMIFS(Backlog!$H:$H,Backlog!$F:$F,"SAS",Backlog!$G:$G,"S12",Backlog!$A:$A,"Task")</f>
        <v/>
      </c>
    </row>
    <row r="7">
      <c r="A7" s="8" t="inlineStr">
        <is>
          <t>DevOps — DevOps Engineer</t>
        </is>
      </c>
      <c r="B7" s="15" t="n">
        <v>8</v>
      </c>
      <c r="C7" s="16">
        <f>SUMIFS(Backlog!$H:$H,Backlog!$F:$F,"DevOps",Backlog!$G:$G,"S1",Backlog!$A:$A,"Task")</f>
        <v/>
      </c>
      <c r="D7" s="16">
        <f>SUMIFS(Backlog!$H:$H,Backlog!$F:$F,"DevOps",Backlog!$G:$G,"S2",Backlog!$A:$A,"Task")</f>
        <v/>
      </c>
      <c r="E7" s="16">
        <f>SUMIFS(Backlog!$H:$H,Backlog!$F:$F,"DevOps",Backlog!$G:$G,"S3",Backlog!$A:$A,"Task")</f>
        <v/>
      </c>
      <c r="F7" s="16">
        <f>SUMIFS(Backlog!$H:$H,Backlog!$F:$F,"DevOps",Backlog!$G:$G,"S4",Backlog!$A:$A,"Task")</f>
        <v/>
      </c>
      <c r="G7" s="16">
        <f>SUMIFS(Backlog!$H:$H,Backlog!$F:$F,"DevOps",Backlog!$G:$G,"S5",Backlog!$A:$A,"Task")</f>
        <v/>
      </c>
      <c r="H7" s="16">
        <f>SUMIFS(Backlog!$H:$H,Backlog!$F:$F,"DevOps",Backlog!$G:$G,"S6",Backlog!$A:$A,"Task")</f>
        <v/>
      </c>
      <c r="I7" s="16">
        <f>SUMIFS(Backlog!$H:$H,Backlog!$F:$F,"DevOps",Backlog!$G:$G,"S7",Backlog!$A:$A,"Task")</f>
        <v/>
      </c>
      <c r="J7" s="16">
        <f>SUMIFS(Backlog!$H:$H,Backlog!$F:$F,"DevOps",Backlog!$G:$G,"S8",Backlog!$A:$A,"Task")</f>
        <v/>
      </c>
      <c r="K7" s="16">
        <f>SUMIFS(Backlog!$H:$H,Backlog!$F:$F,"DevOps",Backlog!$G:$G,"S9",Backlog!$A:$A,"Task")</f>
        <v/>
      </c>
      <c r="L7" s="16">
        <f>SUMIFS(Backlog!$H:$H,Backlog!$F:$F,"DevOps",Backlog!$G:$G,"S10",Backlog!$A:$A,"Task")</f>
        <v/>
      </c>
      <c r="M7" s="16">
        <f>SUMIFS(Backlog!$H:$H,Backlog!$F:$F,"DevOps",Backlog!$G:$G,"S11",Backlog!$A:$A,"Task")</f>
        <v/>
      </c>
      <c r="N7" s="16">
        <f>SUMIFS(Backlog!$H:$H,Backlog!$F:$F,"DevOps",Backlog!$G:$G,"S12",Backlog!$A:$A,"Task")</f>
        <v/>
      </c>
    </row>
    <row r="8">
      <c r="A8" s="8" t="inlineStr">
        <is>
          <t>TL — Tech Lead (Vishnu)</t>
        </is>
      </c>
      <c r="B8" s="15" t="n">
        <v>6</v>
      </c>
      <c r="C8" s="16">
        <f>SUMIFS(Backlog!$H:$H,Backlog!$F:$F,"TL",Backlog!$G:$G,"S1",Backlog!$A:$A,"Task")</f>
        <v/>
      </c>
      <c r="D8" s="16">
        <f>SUMIFS(Backlog!$H:$H,Backlog!$F:$F,"TL",Backlog!$G:$G,"S2",Backlog!$A:$A,"Task")</f>
        <v/>
      </c>
      <c r="E8" s="16">
        <f>SUMIFS(Backlog!$H:$H,Backlog!$F:$F,"TL",Backlog!$G:$G,"S3",Backlog!$A:$A,"Task")</f>
        <v/>
      </c>
      <c r="F8" s="16">
        <f>SUMIFS(Backlog!$H:$H,Backlog!$F:$F,"TL",Backlog!$G:$G,"S4",Backlog!$A:$A,"Task")</f>
        <v/>
      </c>
      <c r="G8" s="16">
        <f>SUMIFS(Backlog!$H:$H,Backlog!$F:$F,"TL",Backlog!$G:$G,"S5",Backlog!$A:$A,"Task")</f>
        <v/>
      </c>
      <c r="H8" s="16">
        <f>SUMIFS(Backlog!$H:$H,Backlog!$F:$F,"TL",Backlog!$G:$G,"S6",Backlog!$A:$A,"Task")</f>
        <v/>
      </c>
      <c r="I8" s="16">
        <f>SUMIFS(Backlog!$H:$H,Backlog!$F:$F,"TL",Backlog!$G:$G,"S7",Backlog!$A:$A,"Task")</f>
        <v/>
      </c>
      <c r="J8" s="16">
        <f>SUMIFS(Backlog!$H:$H,Backlog!$F:$F,"TL",Backlog!$G:$G,"S8",Backlog!$A:$A,"Task")</f>
        <v/>
      </c>
      <c r="K8" s="16">
        <f>SUMIFS(Backlog!$H:$H,Backlog!$F:$F,"TL",Backlog!$G:$G,"S9",Backlog!$A:$A,"Task")</f>
        <v/>
      </c>
      <c r="L8" s="16">
        <f>SUMIFS(Backlog!$H:$H,Backlog!$F:$F,"TL",Backlog!$G:$G,"S10",Backlog!$A:$A,"Task")</f>
        <v/>
      </c>
      <c r="M8" s="16">
        <f>SUMIFS(Backlog!$H:$H,Backlog!$F:$F,"TL",Backlog!$G:$G,"S11",Backlog!$A:$A,"Task")</f>
        <v/>
      </c>
      <c r="N8" s="16">
        <f>SUMIFS(Backlog!$H:$H,Backlog!$F:$F,"TL",Backlog!$G:$G,"S12",Backlog!$A:$A,"Task")</f>
        <v/>
      </c>
    </row>
    <row r="10">
      <c r="A10" s="2" t="inlineStr">
        <is>
          <t>Red = over capacity (re-plan). Green = loaded within capacity. Blank/0 = free.</t>
        </is>
      </c>
    </row>
  </sheetData>
  <conditionalFormatting sqref="C4:N8">
    <cfRule type="expression" priority="1" dxfId="0" stopIfTrue="1">
      <formula>C4&gt;$B4</formula>
    </cfRule>
    <cfRule type="expression" priority="2" dxfId="1">
      <formula>AND(C4&gt;0,C4&lt;=$B4)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58" customWidth="1" min="2" max="2"/>
    <col width="26" customWidth="1" min="3" max="3"/>
    <col width="52" customWidth="1" min="4" max="4"/>
  </cols>
  <sheetData>
    <row r="1">
      <c r="A1" s="1" t="inlineStr">
        <is>
          <t>Prerequisites &amp; Dependencies</t>
        </is>
      </c>
    </row>
    <row r="3">
      <c r="A3" s="17" t="inlineStr">
        <is>
          <t>Internal — must be in place before / during Sprint 1</t>
        </is>
      </c>
    </row>
    <row r="4">
      <c r="A4" s="3" t="inlineStr">
        <is>
          <t>ID</t>
        </is>
      </c>
      <c r="B4" s="3" t="inlineStr">
        <is>
          <t>Item</t>
        </is>
      </c>
      <c r="C4" s="3" t="inlineStr">
        <is>
          <t>Owner</t>
        </is>
      </c>
      <c r="D4" s="3" t="inlineStr">
        <is>
          <t>When</t>
        </is>
      </c>
    </row>
    <row r="5">
      <c r="A5" s="6" t="inlineStr">
        <is>
          <t>PRE-01</t>
        </is>
      </c>
      <c r="B5" s="6" t="inlineStr">
        <is>
          <t>Jira/ADO project + board created</t>
        </is>
      </c>
      <c r="C5" s="6" t="inlineStr">
        <is>
          <t>TL</t>
        </is>
      </c>
      <c r="D5" s="6" t="inlineStr">
        <is>
          <t>Before S1 planning</t>
        </is>
      </c>
    </row>
    <row r="6">
      <c r="A6" s="6" t="inlineStr">
        <is>
          <t>PRE-02</t>
        </is>
      </c>
      <c r="B6" s="6" t="inlineStr">
        <is>
          <t>GitHub repo access for all 4 engineers (write) + CODEOWNERS updated</t>
        </is>
      </c>
      <c r="C6" s="6" t="inlineStr">
        <is>
          <t>TL</t>
        </is>
      </c>
      <c r="D6" s="6" t="inlineStr">
        <is>
          <t>Before S1 day 1</t>
        </is>
      </c>
    </row>
    <row r="7">
      <c r="A7" s="6" t="inlineStr">
        <is>
          <t>PRE-03</t>
        </is>
      </c>
      <c r="B7" s="6" t="inlineStr">
        <is>
          <t>Jenkins admin access for DevOps engineer</t>
        </is>
      </c>
      <c r="C7" s="6" t="inlineStr">
        <is>
          <t>DevOps</t>
        </is>
      </c>
      <c r="D7" s="6" t="inlineStr">
        <is>
          <t>Before S1 day 1</t>
        </is>
      </c>
    </row>
    <row r="8">
      <c r="A8" s="6" t="inlineStr">
        <is>
          <t>PRE-04</t>
        </is>
      </c>
      <c r="B8" s="6" t="inlineStr">
        <is>
          <t>AWS sandbox account access for AWS engineer</t>
        </is>
      </c>
      <c r="C8" s="6" t="inlineStr">
        <is>
          <t>AWS</t>
        </is>
      </c>
      <c r="D8" s="6" t="inlineStr">
        <is>
          <t>Before S1 day 1</t>
        </is>
      </c>
    </row>
    <row r="9">
      <c r="A9" s="6" t="inlineStr">
        <is>
          <t>PRE-05</t>
        </is>
      </c>
      <c r="B9" s="6" t="inlineStr">
        <is>
          <t>Dev machines: uv, Docker Desktop, Terraform 1.9.5, Python 3.12</t>
        </is>
      </c>
      <c r="C9" s="6" t="inlineStr">
        <is>
          <t>All</t>
        </is>
      </c>
      <c r="D9" s="6" t="inlineStr">
        <is>
          <t>S1 day 1-2</t>
        </is>
      </c>
    </row>
    <row r="10">
      <c r="A10" s="6" t="inlineStr">
        <is>
          <t>PRE-06</t>
        </is>
      </c>
      <c r="B10" s="6" t="inlineStr">
        <is>
          <t>Slack/Teams channel + meeting invites for ceremonies</t>
        </is>
      </c>
      <c r="C10" s="6" t="inlineStr">
        <is>
          <t>TL</t>
        </is>
      </c>
      <c r="D10" s="6" t="inlineStr">
        <is>
          <t>Before S1 planning</t>
        </is>
      </c>
    </row>
    <row r="11">
      <c r="A11" s="6" t="inlineStr">
        <is>
          <t>PRE-07</t>
        </is>
      </c>
      <c r="B11" s="6" t="inlineStr">
        <is>
          <t>SAS desktop/dev license for SAS developer (interim until ABSA runtime)</t>
        </is>
      </c>
      <c r="C11" s="6" t="inlineStr">
        <is>
          <t>SAS</t>
        </is>
      </c>
      <c r="D11" s="6" t="inlineStr">
        <is>
          <t>S1</t>
        </is>
      </c>
    </row>
    <row r="13">
      <c r="A13" s="17" t="inlineStr">
        <is>
          <t>Blocked on ABSA — the 8-item dependency register</t>
        </is>
      </c>
    </row>
    <row r="14">
      <c r="A14" s="3" t="inlineStr">
        <is>
          <t>ID</t>
        </is>
      </c>
      <c r="B14" s="3" t="inlineStr">
        <is>
          <t>Dependency</t>
        </is>
      </c>
      <c r="C14" s="3" t="inlineStr">
        <is>
          <t>First impacted task (sprint)</t>
        </is>
      </c>
      <c r="D14" s="3" t="inlineStr">
        <is>
          <t>Impact if late</t>
        </is>
      </c>
    </row>
    <row r="15">
      <c r="A15" s="7" t="inlineStr">
        <is>
          <t>DEP-01</t>
        </is>
      </c>
      <c r="B15" s="6" t="inlineStr">
        <is>
          <t>AWS account IDs (3 EXL accounts + ABSA receiving)</t>
        </is>
      </c>
      <c r="C15" s="6" t="inlineStr">
        <is>
          <t>T-0304 (S2)</t>
        </is>
      </c>
      <c r="D15" s="6" t="inlineStr">
        <is>
          <t>Bootstrap blocked; everything downstream slips day-for-day</t>
        </is>
      </c>
    </row>
    <row r="16">
      <c r="A16" s="7" t="inlineStr">
        <is>
          <t>DEP-02</t>
        </is>
      </c>
      <c r="B16" s="6" t="inlineStr">
        <is>
          <t>IAM principal ARNs needing kms:Verify / s3:GetObject</t>
        </is>
      </c>
      <c r="C16" s="6" t="inlineStr">
        <is>
          <t>T-0312 (S4)</t>
        </is>
      </c>
      <c r="D16" s="6" t="inlineStr">
        <is>
          <t>Cross-account verify untestable</t>
        </is>
      </c>
    </row>
    <row r="17">
      <c r="A17" s="7" t="inlineStr">
        <is>
          <t>DEP-03</t>
        </is>
      </c>
      <c r="B17" s="6" t="inlineStr">
        <is>
          <t>SAS runtime Docker image + license terms</t>
        </is>
      </c>
      <c r="C17" s="6" t="inlineStr">
        <is>
          <t>T-0503 (S2), T-0504 (S3)</t>
        </is>
      </c>
      <c r="D17" s="6" t="inlineStr">
        <is>
          <t>SAS validation stays structural-only</t>
        </is>
      </c>
    </row>
    <row r="18">
      <c r="A18" s="7" t="inlineStr">
        <is>
          <t>DEP-04</t>
        </is>
      </c>
      <c r="B18" s="6" t="inlineStr">
        <is>
          <t>PIR system API/feed contract</t>
        </is>
      </c>
      <c r="C18" s="6" t="inlineStr">
        <is>
          <t>T-0411 (S5)</t>
        </is>
      </c>
      <c r="D18" s="6" t="inlineStr">
        <is>
          <t>pir.yaml stays hand-maintained</t>
        </is>
      </c>
    </row>
    <row r="19">
      <c r="A19" s="7" t="inlineStr">
        <is>
          <t>DEP-05</t>
        </is>
      </c>
      <c r="B19" s="6" t="inlineStr">
        <is>
          <t>Data movement decision: S3 replication vs SFTP</t>
        </is>
      </c>
      <c r="C19" s="6" t="inlineStr">
        <is>
          <t>T-0318 (S4), T-0906 (S8)</t>
        </is>
      </c>
      <c r="D19" s="6" t="inlineStr">
        <is>
          <t>Transfer + delivery automation blocked</t>
        </is>
      </c>
    </row>
    <row r="20">
      <c r="A20" s="7" t="inlineStr">
        <is>
          <t>DEP-06</t>
        </is>
      </c>
      <c r="B20" s="6" t="inlineStr">
        <is>
          <t>CAB/IVU API contract</t>
        </is>
      </c>
      <c r="C20" s="6" t="inlineStr">
        <is>
          <t>T-0701 (S5)</t>
        </is>
      </c>
      <c r="D20" s="6" t="inlineStr">
        <is>
          <t>Change workflow stays manual</t>
        </is>
      </c>
    </row>
    <row r="21">
      <c r="A21" s="7" t="inlineStr">
        <is>
          <t>DEP-07</t>
        </is>
      </c>
      <c r="B21" s="6" t="inlineStr">
        <is>
          <t>Network connectivity choice: peering / TGW / PrivateLink</t>
        </is>
      </c>
      <c r="C21" s="6" t="inlineStr">
        <is>
          <t>T-0307 (S3)</t>
        </is>
      </c>
      <c r="D21" s="6" t="inlineStr">
        <is>
          <t>Data plane to ABSA blocked</t>
        </is>
      </c>
    </row>
    <row r="22">
      <c r="A22" s="7" t="inlineStr">
        <is>
          <t>DEP-08</t>
        </is>
      </c>
      <c r="B22" s="6" t="inlineStr">
        <is>
          <t>Approved model docs + code + benchmarks (models 1-2 first)</t>
        </is>
      </c>
      <c r="C22" s="6" t="inlineStr">
        <is>
          <t>T-0403/T-0505 (S2)</t>
        </is>
      </c>
      <c r="D22" s="6" t="inlineStr">
        <is>
          <t>SAS + DE work on models blocked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8" customWidth="1" min="2" max="2"/>
    <col width="8" customWidth="1" min="3" max="3"/>
    <col width="10" customWidth="1" min="4" max="4"/>
    <col width="8" customWidth="1" min="5" max="5"/>
    <col width="5" customWidth="1" min="6" max="6"/>
    <col width="10" customWidth="1" min="7" max="7"/>
    <col width="8" customWidth="1" min="8" max="8"/>
  </cols>
  <sheetData>
    <row r="1">
      <c r="A1" s="1" t="inlineStr">
        <is>
          <t>Delivery Dashboard</t>
        </is>
      </c>
    </row>
    <row r="3">
      <c r="A3" s="17" t="inlineStr">
        <is>
          <t>Tasks by Status</t>
        </is>
      </c>
      <c r="D3" s="17" t="inlineStr">
        <is>
          <t>Effort by Role (d)</t>
        </is>
      </c>
    </row>
    <row r="4">
      <c r="A4" s="3" t="inlineStr">
        <is>
          <t>Status</t>
        </is>
      </c>
      <c r="B4" s="3" t="inlineStr">
        <is>
          <t>Count</t>
        </is>
      </c>
      <c r="D4" s="18" t="inlineStr">
        <is>
          <t>Role</t>
        </is>
      </c>
      <c r="E4" s="18" t="inlineStr">
        <is>
          <t>Days</t>
        </is>
      </c>
    </row>
    <row r="5">
      <c r="A5" s="19" t="inlineStr">
        <is>
          <t>Planned</t>
        </is>
      </c>
      <c r="B5" s="20">
        <f>COUNTIFS(Backlog!$K:$K,"Planned",Backlog!$A:$A,"Task")</f>
        <v/>
      </c>
      <c r="D5" s="19" t="inlineStr">
        <is>
          <t>AWS</t>
        </is>
      </c>
      <c r="E5" s="20">
        <f>SUMIFS(Backlog!$H:$H,Backlog!$F:$F,"AWS",Backlog!$A:$A,"Task")</f>
        <v/>
      </c>
    </row>
    <row r="6">
      <c r="A6" s="19" t="inlineStr">
        <is>
          <t>In Progress</t>
        </is>
      </c>
      <c r="B6" s="20">
        <f>COUNTIFS(Backlog!$K:$K,"In Progress",Backlog!$A:$A,"Task")</f>
        <v/>
      </c>
      <c r="D6" s="19" t="inlineStr">
        <is>
          <t>DE</t>
        </is>
      </c>
      <c r="E6" s="20">
        <f>SUMIFS(Backlog!$H:$H,Backlog!$F:$F,"DE",Backlog!$A:$A,"Task")</f>
        <v/>
      </c>
    </row>
    <row r="7">
      <c r="A7" s="19" t="inlineStr">
        <is>
          <t>Done</t>
        </is>
      </c>
      <c r="B7" s="20">
        <f>COUNTIFS(Backlog!$K:$K,"Done",Backlog!$A:$A,"Task")</f>
        <v/>
      </c>
      <c r="D7" s="19" t="inlineStr">
        <is>
          <t>SAS</t>
        </is>
      </c>
      <c r="E7" s="20">
        <f>SUMIFS(Backlog!$H:$H,Backlog!$F:$F,"SAS",Backlog!$A:$A,"Task")</f>
        <v/>
      </c>
    </row>
    <row r="8">
      <c r="A8" s="19" t="inlineStr">
        <is>
          <t>Blocked</t>
        </is>
      </c>
      <c r="B8" s="20">
        <f>COUNTIFS(Backlog!$K:$K,"Blocked",Backlog!$A:$A,"Task")</f>
        <v/>
      </c>
      <c r="D8" s="19" t="inlineStr">
        <is>
          <t>DevOps</t>
        </is>
      </c>
      <c r="E8" s="20">
        <f>SUMIFS(Backlog!$H:$H,Backlog!$F:$F,"DevOps",Backlog!$A:$A,"Task")</f>
        <v/>
      </c>
    </row>
    <row r="9">
      <c r="D9" s="19" t="inlineStr">
        <is>
          <t>TL</t>
        </is>
      </c>
      <c r="E9" s="20">
        <f>SUMIFS(Backlog!$H:$H,Backlog!$F:$F,"TL",Backlog!$A:$A,"Task")</f>
        <v/>
      </c>
    </row>
    <row r="12">
      <c r="A12" s="17" t="inlineStr">
        <is>
          <t>Tasks + Effort by Epic</t>
        </is>
      </c>
    </row>
    <row r="13">
      <c r="A13" s="3" t="inlineStr">
        <is>
          <t>Epic</t>
        </is>
      </c>
      <c r="B13" s="3" t="inlineStr">
        <is>
          <t>Title</t>
        </is>
      </c>
      <c r="C13" s="3" t="inlineStr">
        <is>
          <t>Tasks</t>
        </is>
      </c>
      <c r="D13" s="3" t="inlineStr">
        <is>
          <t>Effort (d)</t>
        </is>
      </c>
      <c r="E13" s="3" t="inlineStr">
        <is>
          <t>Done</t>
        </is>
      </c>
    </row>
    <row r="14">
      <c r="A14" s="21" t="inlineStr">
        <is>
          <t>E01</t>
        </is>
      </c>
      <c r="B14" s="19" t="inlineStr">
        <is>
          <t>Team Onboarding &amp; Governance</t>
        </is>
      </c>
      <c r="C14" s="20">
        <f>COUNTIFS(Backlog!$D:$D,"E01",Backlog!$A:$A,"Task")</f>
        <v/>
      </c>
      <c r="D14" s="20">
        <f>SUMIFS(Backlog!$H:$H,Backlog!$D:$D,"E01",Backlog!$A:$A,"Task")</f>
        <v/>
      </c>
      <c r="E14" s="20">
        <f>COUNTIFS(Backlog!$D:$D,"E01",Backlog!$A:$A,"Task",Backlog!$K:$K,"Done")</f>
        <v/>
      </c>
    </row>
    <row r="15">
      <c r="A15" s="21" t="inlineStr">
        <is>
          <t>E02</t>
        </is>
      </c>
      <c r="B15" s="19" t="inlineStr">
        <is>
          <t>CI/CD on Existing Jenkins</t>
        </is>
      </c>
      <c r="C15" s="20">
        <f>COUNTIFS(Backlog!$D:$D,"E02",Backlog!$A:$A,"Task")</f>
        <v/>
      </c>
      <c r="D15" s="20">
        <f>SUMIFS(Backlog!$H:$H,Backlog!$D:$D,"E02",Backlog!$A:$A,"Task")</f>
        <v/>
      </c>
      <c r="E15" s="20">
        <f>COUNTIFS(Backlog!$D:$D,"E02",Backlog!$A:$A,"Task",Backlog!$K:$K,"Done")</f>
        <v/>
      </c>
    </row>
    <row r="16">
      <c r="A16" s="21" t="inlineStr">
        <is>
          <t>E03</t>
        </is>
      </c>
      <c r="B16" s="19" t="inlineStr">
        <is>
          <t>AWS Foundation (Real Accounts)</t>
        </is>
      </c>
      <c r="C16" s="20">
        <f>COUNTIFS(Backlog!$D:$D,"E03",Backlog!$A:$A,"Task")</f>
        <v/>
      </c>
      <c r="D16" s="20">
        <f>SUMIFS(Backlog!$H:$H,Backlog!$D:$D,"E03",Backlog!$A:$A,"Task")</f>
        <v/>
      </c>
      <c r="E16" s="20">
        <f>COUNTIFS(Backlog!$D:$D,"E03",Backlog!$A:$A,"Task",Backlog!$K:$K,"Done")</f>
        <v/>
      </c>
    </row>
    <row r="17">
      <c r="A17" s="21" t="inlineStr">
        <is>
          <t>E04</t>
        </is>
      </c>
      <c r="B17" s="19" t="inlineStr">
        <is>
          <t>Data Readiness &amp; Quality</t>
        </is>
      </c>
      <c r="C17" s="20">
        <f>COUNTIFS(Backlog!$D:$D,"E04",Backlog!$A:$A,"Task")</f>
        <v/>
      </c>
      <c r="D17" s="20">
        <f>SUMIFS(Backlog!$H:$H,Backlog!$D:$D,"E04",Backlog!$A:$A,"Task")</f>
        <v/>
      </c>
      <c r="E17" s="20">
        <f>COUNTIFS(Backlog!$D:$D,"E04",Backlog!$A:$A,"Task",Backlog!$K:$K,"Done")</f>
        <v/>
      </c>
    </row>
    <row r="18">
      <c r="A18" s="21" t="inlineStr">
        <is>
          <t>E05</t>
        </is>
      </c>
      <c r="B18" s="19" t="inlineStr">
        <is>
          <t>SAS Model Intake &amp; Optimization</t>
        </is>
      </c>
      <c r="C18" s="20">
        <f>COUNTIFS(Backlog!$D:$D,"E05",Backlog!$A:$A,"Task")</f>
        <v/>
      </c>
      <c r="D18" s="20">
        <f>SUMIFS(Backlog!$H:$H,Backlog!$D:$D,"E05",Backlog!$A:$A,"Task")</f>
        <v/>
      </c>
      <c r="E18" s="20">
        <f>COUNTIFS(Backlog!$D:$D,"E05",Backlog!$A:$A,"Task",Backlog!$K:$K,"Done")</f>
        <v/>
      </c>
    </row>
    <row r="19">
      <c r="A19" s="21" t="inlineStr">
        <is>
          <t>E06</t>
        </is>
      </c>
      <c r="B19" s="19" t="inlineStr">
        <is>
          <t>ML Compute &amp; Pipeline Execution</t>
        </is>
      </c>
      <c r="C19" s="20">
        <f>COUNTIFS(Backlog!$D:$D,"E06",Backlog!$A:$A,"Task")</f>
        <v/>
      </c>
      <c r="D19" s="20">
        <f>SUMIFS(Backlog!$H:$H,Backlog!$D:$D,"E06",Backlog!$A:$A,"Task")</f>
        <v/>
      </c>
      <c r="E19" s="20">
        <f>COUNTIFS(Backlog!$D:$D,"E06",Backlog!$A:$A,"Task",Backlog!$K:$K,"Done")</f>
        <v/>
      </c>
    </row>
    <row r="20">
      <c r="A20" s="21" t="inlineStr">
        <is>
          <t>E07</t>
        </is>
      </c>
      <c r="B20" s="19" t="inlineStr">
        <is>
          <t>Controls &amp; Change Management</t>
        </is>
      </c>
      <c r="C20" s="20">
        <f>COUNTIFS(Backlog!$D:$D,"E07",Backlog!$A:$A,"Task")</f>
        <v/>
      </c>
      <c r="D20" s="20">
        <f>SUMIFS(Backlog!$H:$H,Backlog!$D:$D,"E07",Backlog!$A:$A,"Task")</f>
        <v/>
      </c>
      <c r="E20" s="20">
        <f>COUNTIFS(Backlog!$D:$D,"E07",Backlog!$A:$A,"Task",Backlog!$K:$K,"Done")</f>
        <v/>
      </c>
    </row>
    <row r="21">
      <c r="A21" s="21" t="inlineStr">
        <is>
          <t>E08</t>
        </is>
      </c>
      <c r="B21" s="19" t="inlineStr">
        <is>
          <t>Group 1 Go-Live (Models 1-2)</t>
        </is>
      </c>
      <c r="C21" s="20">
        <f>COUNTIFS(Backlog!$D:$D,"E08",Backlog!$A:$A,"Task")</f>
        <v/>
      </c>
      <c r="D21" s="20">
        <f>SUMIFS(Backlog!$H:$H,Backlog!$D:$D,"E08",Backlog!$A:$A,"Task")</f>
        <v/>
      </c>
      <c r="E21" s="20">
        <f>COUNTIFS(Backlog!$D:$D,"E08",Backlog!$A:$A,"Task",Backlog!$K:$K,"Done")</f>
        <v/>
      </c>
    </row>
    <row r="22">
      <c r="A22" s="21" t="inlineStr">
        <is>
          <t>E09</t>
        </is>
      </c>
      <c r="B22" s="19" t="inlineStr">
        <is>
          <t>Dashboards &amp; Output Delivery</t>
        </is>
      </c>
      <c r="C22" s="20">
        <f>COUNTIFS(Backlog!$D:$D,"E09",Backlog!$A:$A,"Task")</f>
        <v/>
      </c>
      <c r="D22" s="20">
        <f>SUMIFS(Backlog!$H:$H,Backlog!$D:$D,"E09",Backlog!$A:$A,"Task")</f>
        <v/>
      </c>
      <c r="E22" s="20">
        <f>COUNTIFS(Backlog!$D:$D,"E09",Backlog!$A:$A,"Task",Backlog!$K:$K,"Done")</f>
        <v/>
      </c>
    </row>
    <row r="23">
      <c r="A23" s="21" t="inlineStr">
        <is>
          <t>E10</t>
        </is>
      </c>
      <c r="B23" s="19" t="inlineStr">
        <is>
          <t>Group 2 Scale-Out (Models 3-10)</t>
        </is>
      </c>
      <c r="C23" s="20">
        <f>COUNTIFS(Backlog!$D:$D,"E10",Backlog!$A:$A,"Task")</f>
        <v/>
      </c>
      <c r="D23" s="20">
        <f>SUMIFS(Backlog!$H:$H,Backlog!$D:$D,"E10",Backlog!$A:$A,"Task")</f>
        <v/>
      </c>
      <c r="E23" s="20">
        <f>COUNTIFS(Backlog!$D:$D,"E10",Backlog!$A:$A,"Task",Backlog!$K:$K,"Done")</f>
        <v/>
      </c>
    </row>
    <row r="24">
      <c r="A24" s="21" t="inlineStr">
        <is>
          <t>E11</t>
        </is>
      </c>
      <c r="B24" s="19" t="inlineStr">
        <is>
          <t>Steady State &amp; Handover</t>
        </is>
      </c>
      <c r="C24" s="20">
        <f>COUNTIFS(Backlog!$D:$D,"E11",Backlog!$A:$A,"Task")</f>
        <v/>
      </c>
      <c r="D24" s="20">
        <f>SUMIFS(Backlog!$H:$H,Backlog!$D:$D,"E11",Backlog!$A:$A,"Task")</f>
        <v/>
      </c>
      <c r="E24" s="20">
        <f>COUNTIFS(Backlog!$D:$D,"E11",Backlog!$A:$A,"Task",Backlog!$K:$K,"Done")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2026-06-12T06:50:14Z</dcterms:created>
  <dcterms:modified xsi:type="dcterms:W3CDTF">2026-06-12T06:50:14Z</dcterms:modified>
</cp:coreProperties>
</file>