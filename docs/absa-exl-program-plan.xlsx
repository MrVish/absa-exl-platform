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ask List" sheetId="1" state="visible" r:id="rId1"/>
    <sheet name="Phase Summary" sheetId="2" state="visible" r:id="rId2"/>
    <sheet name="Milestones &amp; Gates" sheetId="3" state="visible" r:id="rId3"/>
    <sheet name="Risk Register" sheetId="4" state="visible" r:id="rId4"/>
    <sheet name="Open Decisions" sheetId="5" state="visible" r:id="rId5"/>
    <sheet name="Dashboard" sheetId="6" state="visible" r:id="rId6"/>
  </sheets>
  <definedNames>
    <definedName name="_xlnm._FilterDatabase" localSheetId="0" hidden="1">'Master Task List'!$A$3:$Q$109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0B2"/>
      </patternFill>
    </fill>
    <fill>
      <patternFill patternType="solid">
        <fgColor rgb="00EEEEEE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BDE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164" fontId="6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3" fillId="0" borderId="1" pivotButton="0" quotePrefix="0" xfId="0"/>
    <xf numFmtId="0" fontId="3" fillId="6" borderId="1" pivotButton="0" quotePrefix="0" xfId="0"/>
    <xf numFmtId="0" fontId="3" fillId="3" borderId="1" pivotButton="0" quotePrefix="0" xfId="0"/>
    <xf numFmtId="0" fontId="3" fillId="7" borderId="1" pivotButton="0" quotePrefix="0" xfId="0"/>
    <xf numFmtId="0" fontId="3" fillId="8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6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7" customWidth="1" min="2" max="2"/>
    <col width="32" customWidth="1" min="3" max="3"/>
    <col width="60" customWidth="1" min="4" max="4"/>
    <col width="16" customWidth="1" min="5" max="5"/>
    <col width="14" customWidth="1" min="6" max="6"/>
    <col width="20" customWidth="1" min="7" max="7"/>
    <col width="11" customWidth="1" min="8" max="8"/>
    <col width="10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12" customWidth="1" min="15" max="15"/>
    <col width="9" customWidth="1" min="16" max="16"/>
    <col width="50" customWidth="1" min="17" max="17"/>
  </cols>
  <sheetData>
    <row r="1" ht="24" customHeight="1">
      <c r="A1" s="1" t="inlineStr">
        <is>
          <t>ABSA x EXL Model Hosting — Master Task List</t>
        </is>
      </c>
    </row>
    <row r="3" ht="30" customHeight="1">
      <c r="A3" s="2" t="inlineStr">
        <is>
          <t>Task ID</t>
        </is>
      </c>
      <c r="B3" s="2" t="inlineStr">
        <is>
          <t>Phase</t>
        </is>
      </c>
      <c r="C3" s="2" t="inlineStr">
        <is>
          <t>Category</t>
        </is>
      </c>
      <c r="D3" s="2" t="inlineStr">
        <is>
          <t>Task</t>
        </is>
      </c>
      <c r="E3" s="2" t="inlineStr">
        <is>
          <t>Owner</t>
        </is>
      </c>
      <c r="F3" s="2" t="inlineStr">
        <is>
          <t>RACI: R</t>
        </is>
      </c>
      <c r="G3" s="2" t="inlineStr">
        <is>
          <t>RACI: A</t>
        </is>
      </c>
      <c r="H3" s="2" t="inlineStr">
        <is>
          <t>Priority</t>
        </is>
      </c>
      <c r="I3" s="2" t="inlineStr">
        <is>
          <t>Effort (d)</t>
        </is>
      </c>
      <c r="J3" s="2" t="inlineStr">
        <is>
          <t>Start</t>
        </is>
      </c>
      <c r="K3" s="2" t="inlineStr">
        <is>
          <t>End</t>
        </is>
      </c>
      <c r="L3" s="2" t="inlineStr">
        <is>
          <t>Duration (d)</t>
        </is>
      </c>
      <c r="M3" s="2" t="inlineStr">
        <is>
          <t>Dependencies</t>
        </is>
      </c>
      <c r="N3" s="2" t="inlineStr">
        <is>
          <t>Status</t>
        </is>
      </c>
      <c r="O3" s="2" t="inlineStr">
        <is>
          <t>Delivery</t>
        </is>
      </c>
      <c r="P3" s="2" t="inlineStr">
        <is>
          <t>Risk</t>
        </is>
      </c>
      <c r="Q3" s="2" t="inlineStr">
        <is>
          <t>Notes</t>
        </is>
      </c>
    </row>
    <row r="4">
      <c r="A4" s="3" t="inlineStr">
        <is>
          <t>T001</t>
        </is>
      </c>
      <c r="B4" s="3" t="inlineStr">
        <is>
          <t>P1</t>
        </is>
      </c>
      <c r="C4" s="3" t="inlineStr">
        <is>
          <t>Project Governance &amp; Scope</t>
        </is>
      </c>
      <c r="D4" s="3" t="inlineStr">
        <is>
          <t>Confirm project kickoff agenda and stakeholder list</t>
        </is>
      </c>
      <c r="E4" s="3" t="inlineStr">
        <is>
          <t>BOTH</t>
        </is>
      </c>
      <c r="F4" s="3" t="inlineStr">
        <is>
          <t>BOTH</t>
        </is>
      </c>
      <c r="G4" s="3" t="inlineStr">
        <is>
          <t>Steering Committee</t>
        </is>
      </c>
      <c r="H4" s="4" t="inlineStr">
        <is>
          <t>Critical</t>
        </is>
      </c>
      <c r="I4" s="3" t="n">
        <v>2</v>
      </c>
      <c r="J4" s="5" t="n">
        <v>46023</v>
      </c>
      <c r="K4" s="5" t="n">
        <v>46026</v>
      </c>
      <c r="L4" s="3">
        <f>K4-J4+1</f>
        <v/>
      </c>
      <c r="M4" s="3" t="inlineStr"/>
      <c r="N4" s="6" t="inlineStr">
        <is>
          <t>Not Started</t>
        </is>
      </c>
      <c r="O4" s="7" t="inlineStr">
        <is>
          <t>Planned</t>
        </is>
      </c>
      <c r="P4" s="8" t="inlineStr">
        <is>
          <t>Low</t>
        </is>
      </c>
      <c r="Q4" s="3" t="inlineStr">
        <is>
          <t>Kickoff meeting</t>
        </is>
      </c>
    </row>
    <row r="5">
      <c r="A5" s="3" t="inlineStr">
        <is>
          <t>T002</t>
        </is>
      </c>
      <c r="B5" s="3" t="inlineStr">
        <is>
          <t>P1</t>
        </is>
      </c>
      <c r="C5" s="3" t="inlineStr">
        <is>
          <t>Project Governance &amp; Scope</t>
        </is>
      </c>
      <c r="D5" s="3" t="inlineStr">
        <is>
          <t>SPOCs from ABSA and EXL</t>
        </is>
      </c>
      <c r="E5" s="3" t="inlineStr">
        <is>
          <t>BOTH</t>
        </is>
      </c>
      <c r="F5" s="3" t="inlineStr">
        <is>
          <t>BOTH</t>
        </is>
      </c>
      <c r="G5" s="3" t="inlineStr">
        <is>
          <t>Exec Sponsor</t>
        </is>
      </c>
      <c r="H5" s="4" t="inlineStr">
        <is>
          <t>Critical</t>
        </is>
      </c>
      <c r="I5" s="3" t="n">
        <v>1</v>
      </c>
      <c r="J5" s="5" t="n">
        <v>46026</v>
      </c>
      <c r="K5" s="5" t="n">
        <v>46029</v>
      </c>
      <c r="L5" s="3">
        <f>K5-J5+1</f>
        <v/>
      </c>
      <c r="M5" s="3" t="inlineStr">
        <is>
          <t>T001</t>
        </is>
      </c>
      <c r="N5" s="6" t="inlineStr">
        <is>
          <t>Not Started</t>
        </is>
      </c>
      <c r="O5" s="7" t="inlineStr">
        <is>
          <t>Planned</t>
        </is>
      </c>
      <c r="P5" s="8" t="inlineStr">
        <is>
          <t>Low</t>
        </is>
      </c>
      <c r="Q5" s="3" t="inlineStr">
        <is>
          <t>Single Points of Contact each side</t>
        </is>
      </c>
    </row>
    <row r="6">
      <c r="A6" s="3" t="inlineStr">
        <is>
          <t>T003</t>
        </is>
      </c>
      <c r="B6" s="3" t="inlineStr">
        <is>
          <t>P1</t>
        </is>
      </c>
      <c r="C6" s="3" t="inlineStr">
        <is>
          <t>Project Governance &amp; Scope</t>
        </is>
      </c>
      <c r="D6" s="3" t="inlineStr">
        <is>
          <t>Finalize governance structure and working cadence</t>
        </is>
      </c>
      <c r="E6" s="3" t="inlineStr">
        <is>
          <t>BOTH</t>
        </is>
      </c>
      <c r="F6" s="3" t="inlineStr">
        <is>
          <t>BOTH</t>
        </is>
      </c>
      <c r="G6" s="3" t="inlineStr">
        <is>
          <t>Steering Committee</t>
        </is>
      </c>
      <c r="H6" s="4" t="inlineStr">
        <is>
          <t>Critical</t>
        </is>
      </c>
      <c r="I6" s="3" t="n">
        <v>3</v>
      </c>
      <c r="J6" s="5" t="n">
        <v>46029</v>
      </c>
      <c r="K6" s="5" t="n">
        <v>46032</v>
      </c>
      <c r="L6" s="3">
        <f>K6-J6+1</f>
        <v/>
      </c>
      <c r="M6" s="3" t="inlineStr">
        <is>
          <t>T002</t>
        </is>
      </c>
      <c r="N6" s="6" t="inlineStr">
        <is>
          <t>Not Started</t>
        </is>
      </c>
      <c r="O6" s="7" t="inlineStr">
        <is>
          <t>Planned</t>
        </is>
      </c>
      <c r="P6" s="8" t="inlineStr">
        <is>
          <t>Low</t>
        </is>
      </c>
      <c r="Q6" s="3" t="inlineStr">
        <is>
          <t>Weekly standup + monthly steering</t>
        </is>
      </c>
    </row>
    <row r="7">
      <c r="A7" s="3" t="inlineStr">
        <is>
          <t>T004</t>
        </is>
      </c>
      <c r="B7" s="3" t="inlineStr">
        <is>
          <t>P1</t>
        </is>
      </c>
      <c r="C7" s="3" t="inlineStr">
        <is>
          <t>Project Governance &amp; Scope</t>
        </is>
      </c>
      <c r="D7" s="3" t="inlineStr">
        <is>
          <t>Review scope, exclusions, assumptions, dependencies</t>
        </is>
      </c>
      <c r="E7" s="3" t="inlineStr">
        <is>
          <t>BOTH</t>
        </is>
      </c>
      <c r="F7" s="3" t="inlineStr">
        <is>
          <t>BOTH</t>
        </is>
      </c>
      <c r="G7" s="3" t="inlineStr">
        <is>
          <t>Steering Committee</t>
        </is>
      </c>
      <c r="H7" s="9" t="inlineStr">
        <is>
          <t>High</t>
        </is>
      </c>
      <c r="I7" s="3" t="n">
        <v>3</v>
      </c>
      <c r="J7" s="5" t="n">
        <v>46032</v>
      </c>
      <c r="K7" s="5" t="n">
        <v>46035</v>
      </c>
      <c r="L7" s="3">
        <f>K7-J7+1</f>
        <v/>
      </c>
      <c r="M7" s="3" t="inlineStr">
        <is>
          <t>T003</t>
        </is>
      </c>
      <c r="N7" s="6" t="inlineStr">
        <is>
          <t>Not Started</t>
        </is>
      </c>
      <c r="O7" s="7" t="inlineStr">
        <is>
          <t>Planned</t>
        </is>
      </c>
      <c r="P7" s="10" t="inlineStr">
        <is>
          <t>Medium</t>
        </is>
      </c>
      <c r="Q7" s="3" t="inlineStr">
        <is>
          <t>RACI + dependency log</t>
        </is>
      </c>
    </row>
    <row r="8">
      <c r="A8" s="3" t="inlineStr">
        <is>
          <t>T005</t>
        </is>
      </c>
      <c r="B8" s="3" t="inlineStr">
        <is>
          <t>P1</t>
        </is>
      </c>
      <c r="C8" s="3" t="inlineStr">
        <is>
          <t>Project Governance &amp; Scope</t>
        </is>
      </c>
      <c r="D8" s="3" t="inlineStr">
        <is>
          <t>Agree delivery plan for the initial 10 models</t>
        </is>
      </c>
      <c r="E8" s="3" t="inlineStr">
        <is>
          <t>BOTH</t>
        </is>
      </c>
      <c r="F8" s="3" t="inlineStr">
        <is>
          <t>BOTH</t>
        </is>
      </c>
      <c r="G8" s="3" t="inlineStr">
        <is>
          <t>ABSA Risk Owner</t>
        </is>
      </c>
      <c r="H8" s="4" t="inlineStr">
        <is>
          <t>Critical</t>
        </is>
      </c>
      <c r="I8" s="3" t="n">
        <v>5</v>
      </c>
      <c r="J8" s="5" t="n">
        <v>46035</v>
      </c>
      <c r="K8" s="5" t="n">
        <v>46038</v>
      </c>
      <c r="L8" s="3">
        <f>K8-J8+1</f>
        <v/>
      </c>
      <c r="M8" s="3" t="inlineStr">
        <is>
          <t>T004</t>
        </is>
      </c>
      <c r="N8" s="6" t="inlineStr">
        <is>
          <t>Not Started</t>
        </is>
      </c>
      <c r="O8" s="7" t="inlineStr">
        <is>
          <t>Planned</t>
        </is>
      </c>
      <c r="P8" s="10" t="inlineStr">
        <is>
          <t>Medium</t>
        </is>
      </c>
      <c r="Q8" s="3" t="inlineStr">
        <is>
          <t>Sequencing: Group 1 (2) -&gt; Group 2 (8)</t>
        </is>
      </c>
    </row>
    <row r="9">
      <c r="A9" s="3" t="inlineStr">
        <is>
          <t>T006</t>
        </is>
      </c>
      <c r="B9" s="3" t="inlineStr">
        <is>
          <t>P1</t>
        </is>
      </c>
      <c r="C9" s="3" t="inlineStr">
        <is>
          <t>Project Governance &amp; Scope</t>
        </is>
      </c>
      <c r="D9" s="3" t="inlineStr">
        <is>
          <t>Confirm run frequency for each of the initial models</t>
        </is>
      </c>
      <c r="E9" s="3" t="inlineStr">
        <is>
          <t>BOTH</t>
        </is>
      </c>
      <c r="F9" s="3" t="inlineStr">
        <is>
          <t>BOTH</t>
        </is>
      </c>
      <c r="G9" s="3" t="inlineStr">
        <is>
          <t>ABSA Risk Owner</t>
        </is>
      </c>
      <c r="H9" s="9" t="inlineStr">
        <is>
          <t>High</t>
        </is>
      </c>
      <c r="I9" s="3" t="n">
        <v>3</v>
      </c>
      <c r="J9" s="5" t="n">
        <v>46038</v>
      </c>
      <c r="K9" s="5" t="n">
        <v>46041</v>
      </c>
      <c r="L9" s="3">
        <f>K9-J9+1</f>
        <v/>
      </c>
      <c r="M9" s="3" t="inlineStr">
        <is>
          <t>T005</t>
        </is>
      </c>
      <c r="N9" s="6" t="inlineStr">
        <is>
          <t>Not Started</t>
        </is>
      </c>
      <c r="O9" s="7" t="inlineStr">
        <is>
          <t>Planned</t>
        </is>
      </c>
      <c r="P9" s="8" t="inlineStr">
        <is>
          <t>Low</t>
        </is>
      </c>
      <c r="Q9" s="3" t="inlineStr">
        <is>
          <t>Daily / weekly / monthly cadence per model</t>
        </is>
      </c>
    </row>
    <row r="10">
      <c r="A10" s="3" t="inlineStr">
        <is>
          <t>T007</t>
        </is>
      </c>
      <c r="B10" s="3" t="inlineStr">
        <is>
          <t>P1</t>
        </is>
      </c>
      <c r="C10" s="3" t="inlineStr">
        <is>
          <t>Project Governance &amp; Scope</t>
        </is>
      </c>
      <c r="D10" s="3" t="inlineStr">
        <is>
          <t>Share approved model documents (initial set)</t>
        </is>
      </c>
      <c r="E10" s="3" t="inlineStr">
        <is>
          <t>ABSA</t>
        </is>
      </c>
      <c r="F10" s="3" t="inlineStr">
        <is>
          <t>ABSA</t>
        </is>
      </c>
      <c r="G10" s="3" t="inlineStr">
        <is>
          <t>ABSA Model Owner</t>
        </is>
      </c>
      <c r="H10" s="4" t="inlineStr">
        <is>
          <t>Critical</t>
        </is>
      </c>
      <c r="I10" s="3" t="n">
        <v>5</v>
      </c>
      <c r="J10" s="5" t="n">
        <v>46041</v>
      </c>
      <c r="K10" s="5" t="n">
        <v>46044</v>
      </c>
      <c r="L10" s="3">
        <f>K10-J10+1</f>
        <v/>
      </c>
      <c r="M10" s="3" t="inlineStr">
        <is>
          <t>T002</t>
        </is>
      </c>
      <c r="N10" s="6" t="inlineStr">
        <is>
          <t>Not Started</t>
        </is>
      </c>
      <c r="O10" s="11" t="inlineStr">
        <is>
          <t>Blocked</t>
        </is>
      </c>
      <c r="P10" s="11" t="inlineStr">
        <is>
          <t>High</t>
        </is>
      </c>
      <c r="Q10" s="3" t="inlineStr">
        <is>
          <t>Model dev specs + validation reports</t>
        </is>
      </c>
    </row>
    <row r="11">
      <c r="A11" s="3" t="inlineStr">
        <is>
          <t>T008</t>
        </is>
      </c>
      <c r="B11" s="3" t="inlineStr">
        <is>
          <t>P1</t>
        </is>
      </c>
      <c r="C11" s="3" t="inlineStr">
        <is>
          <t>Project Governance &amp; Scope</t>
        </is>
      </c>
      <c r="D11" s="3" t="inlineStr">
        <is>
          <t>Share model code, supporting artefacts, benchmark outputs</t>
        </is>
      </c>
      <c r="E11" s="3" t="inlineStr">
        <is>
          <t>ABSA</t>
        </is>
      </c>
      <c r="F11" s="3" t="inlineStr">
        <is>
          <t>ABSA</t>
        </is>
      </c>
      <c r="G11" s="3" t="inlineStr">
        <is>
          <t>ABSA Model Owner</t>
        </is>
      </c>
      <c r="H11" s="4" t="inlineStr">
        <is>
          <t>Critical</t>
        </is>
      </c>
      <c r="I11" s="3" t="n">
        <v>5</v>
      </c>
      <c r="J11" s="5" t="n">
        <v>46044</v>
      </c>
      <c r="K11" s="5" t="n">
        <v>46047</v>
      </c>
      <c r="L11" s="3">
        <f>K11-J11+1</f>
        <v/>
      </c>
      <c r="M11" s="3" t="inlineStr">
        <is>
          <t>T007</t>
        </is>
      </c>
      <c r="N11" s="6" t="inlineStr">
        <is>
          <t>Not Started</t>
        </is>
      </c>
      <c r="O11" s="11" t="inlineStr">
        <is>
          <t>Blocked</t>
        </is>
      </c>
      <c r="P11" s="11" t="inlineStr">
        <is>
          <t>High</t>
        </is>
      </c>
      <c r="Q11" s="3" t="inlineStr">
        <is>
          <t>Reference golden data for reconciliation</t>
        </is>
      </c>
    </row>
    <row r="12">
      <c r="A12" s="3" t="inlineStr">
        <is>
          <t>T009</t>
        </is>
      </c>
      <c r="B12" s="3" t="inlineStr">
        <is>
          <t>P1</t>
        </is>
      </c>
      <c r="C12" s="3" t="inlineStr">
        <is>
          <t>Project Governance &amp; Scope</t>
        </is>
      </c>
      <c r="D12" s="3" t="inlineStr">
        <is>
          <t>Agree PIR expectations and sign-off checkpoints</t>
        </is>
      </c>
      <c r="E12" s="3" t="inlineStr">
        <is>
          <t>BOTH</t>
        </is>
      </c>
      <c r="F12" s="3" t="inlineStr">
        <is>
          <t>BOTH</t>
        </is>
      </c>
      <c r="G12" s="3" t="inlineStr">
        <is>
          <t>ABSA Risk Owner</t>
        </is>
      </c>
      <c r="H12" s="4" t="inlineStr">
        <is>
          <t>Critical</t>
        </is>
      </c>
      <c r="I12" s="3" t="n">
        <v>3</v>
      </c>
      <c r="J12" s="5" t="n">
        <v>46047</v>
      </c>
      <c r="K12" s="5" t="n">
        <v>46050</v>
      </c>
      <c r="L12" s="3">
        <f>K12-J12+1</f>
        <v/>
      </c>
      <c r="M12" s="3" t="inlineStr">
        <is>
          <t>T004</t>
        </is>
      </c>
      <c r="N12" s="6" t="inlineStr">
        <is>
          <t>Not Started</t>
        </is>
      </c>
      <c r="O12" s="7" t="inlineStr">
        <is>
          <t>Planned</t>
        </is>
      </c>
      <c r="P12" s="10" t="inlineStr">
        <is>
          <t>Medium</t>
        </is>
      </c>
      <c r="Q12" s="3" t="inlineStr">
        <is>
          <t>Post-Implementation Review framework</t>
        </is>
      </c>
    </row>
    <row r="13">
      <c r="A13" s="3" t="inlineStr">
        <is>
          <t>T010</t>
        </is>
      </c>
      <c r="B13" s="3" t="inlineStr">
        <is>
          <t>P1</t>
        </is>
      </c>
      <c r="C13" s="3" t="inlineStr">
        <is>
          <t>Project Governance &amp; Scope</t>
        </is>
      </c>
      <c r="D13" s="3" t="inlineStr">
        <is>
          <t>Create project logger</t>
        </is>
      </c>
      <c r="E13" s="3" t="inlineStr">
        <is>
          <t>EXL</t>
        </is>
      </c>
      <c r="F13" s="3" t="inlineStr">
        <is>
          <t>EXL</t>
        </is>
      </c>
      <c r="G13" s="3" t="inlineStr">
        <is>
          <t>Program Mgr</t>
        </is>
      </c>
      <c r="H13" s="3" t="inlineStr">
        <is>
          <t>Medium</t>
        </is>
      </c>
      <c r="I13" s="3" t="n">
        <v>2</v>
      </c>
      <c r="J13" s="5" t="n">
        <v>46050</v>
      </c>
      <c r="K13" s="5" t="n">
        <v>46053</v>
      </c>
      <c r="L13" s="3">
        <f>K13-J13+1</f>
        <v/>
      </c>
      <c r="M13" s="3" t="inlineStr">
        <is>
          <t>T003</t>
        </is>
      </c>
      <c r="N13" s="6" t="inlineStr">
        <is>
          <t>Not Started</t>
        </is>
      </c>
      <c r="O13" s="7" t="inlineStr">
        <is>
          <t>Planned</t>
        </is>
      </c>
      <c r="P13" s="8" t="inlineStr">
        <is>
          <t>Low</t>
        </is>
      </c>
      <c r="Q13" s="3" t="inlineStr">
        <is>
          <t>Jira / Confluence / equivalent</t>
        </is>
      </c>
    </row>
    <row r="14">
      <c r="A14" s="3" t="inlineStr">
        <is>
          <t>T011</t>
        </is>
      </c>
      <c r="B14" s="3" t="inlineStr">
        <is>
          <t>P2</t>
        </is>
      </c>
      <c r="C14" s="3" t="inlineStr">
        <is>
          <t>Architecture, Access &amp; Connectivity</t>
        </is>
      </c>
      <c r="D14" s="3" t="inlineStr">
        <is>
          <t>Review target architecture + secure transfer approach</t>
        </is>
      </c>
      <c r="E14" s="3" t="inlineStr">
        <is>
          <t>BOTH</t>
        </is>
      </c>
      <c r="F14" s="3" t="inlineStr">
        <is>
          <t>BOTH</t>
        </is>
      </c>
      <c r="G14" s="3" t="inlineStr">
        <is>
          <t>Architecture Board</t>
        </is>
      </c>
      <c r="H14" s="4" t="inlineStr">
        <is>
          <t>Critical</t>
        </is>
      </c>
      <c r="I14" s="3" t="n">
        <v>5</v>
      </c>
      <c r="J14" s="5" t="n">
        <v>46037</v>
      </c>
      <c r="K14" s="5" t="n">
        <v>46040</v>
      </c>
      <c r="L14" s="3">
        <f>K14-J14+1</f>
        <v/>
      </c>
      <c r="M14" s="3" t="inlineStr">
        <is>
          <t>T001</t>
        </is>
      </c>
      <c r="N14" s="12" t="inlineStr">
        <is>
          <t>In Progress</t>
        </is>
      </c>
      <c r="O14" s="10" t="inlineStr">
        <is>
          <t>Partial</t>
        </is>
      </c>
      <c r="P14" s="10" t="inlineStr">
        <is>
          <t>Medium</t>
        </is>
      </c>
      <c r="Q14" s="3" t="inlineStr">
        <is>
          <t>ADRs 0001-0010 capture decisions</t>
        </is>
      </c>
    </row>
    <row r="15">
      <c r="A15" s="3" t="inlineStr">
        <is>
          <t>T012</t>
        </is>
      </c>
      <c r="B15" s="3" t="inlineStr">
        <is>
          <t>P2</t>
        </is>
      </c>
      <c r="C15" s="3" t="inlineStr">
        <is>
          <t>Architecture, Access &amp; Connectivity</t>
        </is>
      </c>
      <c r="D15" s="3" t="inlineStr">
        <is>
          <t>Approve final architecture for implementation</t>
        </is>
      </c>
      <c r="E15" s="3" t="inlineStr">
        <is>
          <t>ABSA</t>
        </is>
      </c>
      <c r="F15" s="3" t="inlineStr">
        <is>
          <t>ABSA</t>
        </is>
      </c>
      <c r="G15" s="3" t="inlineStr">
        <is>
          <t>ABSA Architect</t>
        </is>
      </c>
      <c r="H15" s="4" t="inlineStr">
        <is>
          <t>Critical</t>
        </is>
      </c>
      <c r="I15" s="3" t="n">
        <v>3</v>
      </c>
      <c r="J15" s="5" t="n">
        <v>46040</v>
      </c>
      <c r="K15" s="5" t="n">
        <v>46043</v>
      </c>
      <c r="L15" s="3">
        <f>K15-J15+1</f>
        <v/>
      </c>
      <c r="M15" s="3" t="inlineStr">
        <is>
          <t>T011</t>
        </is>
      </c>
      <c r="N15" s="6" t="inlineStr">
        <is>
          <t>Not Started</t>
        </is>
      </c>
      <c r="O15" s="11" t="inlineStr">
        <is>
          <t>Blocked</t>
        </is>
      </c>
      <c r="P15" s="11" t="inlineStr">
        <is>
          <t>High</t>
        </is>
      </c>
      <c r="Q15" s="3" t="inlineStr">
        <is>
          <t>Awaits ABSA sign-off</t>
        </is>
      </c>
    </row>
    <row r="16">
      <c r="A16" s="3" t="inlineStr">
        <is>
          <t>T013</t>
        </is>
      </c>
      <c r="B16" s="3" t="inlineStr">
        <is>
          <t>P2</t>
        </is>
      </c>
      <c r="C16" s="3" t="inlineStr">
        <is>
          <t>Architecture, Access &amp; Connectivity</t>
        </is>
      </c>
      <c r="D16" s="3" t="inlineStr">
        <is>
          <t>Complete ABSA internal cloud approvals</t>
        </is>
      </c>
      <c r="E16" s="3" t="inlineStr">
        <is>
          <t>ABSA</t>
        </is>
      </c>
      <c r="F16" s="3" t="inlineStr">
        <is>
          <t>ABSA</t>
        </is>
      </c>
      <c r="G16" s="3" t="inlineStr">
        <is>
          <t>ABSA Architect</t>
        </is>
      </c>
      <c r="H16" s="4" t="inlineStr">
        <is>
          <t>Critical</t>
        </is>
      </c>
      <c r="I16" s="3" t="n">
        <v>10</v>
      </c>
      <c r="J16" s="5" t="n">
        <v>46044</v>
      </c>
      <c r="K16" s="5" t="n">
        <v>46047</v>
      </c>
      <c r="L16" s="3">
        <f>K16-J16+1</f>
        <v/>
      </c>
      <c r="M16" s="3" t="inlineStr">
        <is>
          <t>T012</t>
        </is>
      </c>
      <c r="N16" s="6" t="inlineStr">
        <is>
          <t>Not Started</t>
        </is>
      </c>
      <c r="O16" s="11" t="inlineStr">
        <is>
          <t>Blocked</t>
        </is>
      </c>
      <c r="P16" s="11" t="inlineStr">
        <is>
          <t>High</t>
        </is>
      </c>
      <c r="Q16" s="3" t="inlineStr">
        <is>
          <t>ABSA-side governance</t>
        </is>
      </c>
    </row>
    <row r="17">
      <c r="A17" s="3" t="inlineStr">
        <is>
          <t>T014</t>
        </is>
      </c>
      <c r="B17" s="3" t="inlineStr">
        <is>
          <t>P2</t>
        </is>
      </c>
      <c r="C17" s="3" t="inlineStr">
        <is>
          <t>Architecture, Access &amp; Connectivity</t>
        </is>
      </c>
      <c r="D17" s="3" t="inlineStr">
        <is>
          <t>Provision EXL AWS landing zone accounts + baseline access</t>
        </is>
      </c>
      <c r="E17" s="3" t="inlineStr">
        <is>
          <t>EXL</t>
        </is>
      </c>
      <c r="F17" s="3" t="inlineStr">
        <is>
          <t>EXL</t>
        </is>
      </c>
      <c r="G17" s="3" t="inlineStr">
        <is>
          <t>EXL Cloud Eng</t>
        </is>
      </c>
      <c r="H17" s="4" t="inlineStr">
        <is>
          <t>Critical</t>
        </is>
      </c>
      <c r="I17" s="3" t="n">
        <v>5</v>
      </c>
      <c r="J17" s="5" t="n">
        <v>46048</v>
      </c>
      <c r="K17" s="5" t="n">
        <v>46051</v>
      </c>
      <c r="L17" s="3">
        <f>K17-J17+1</f>
        <v/>
      </c>
      <c r="M17" s="3" t="inlineStr">
        <is>
          <t>T013</t>
        </is>
      </c>
      <c r="N17" s="6" t="inlineStr">
        <is>
          <t>Not Started</t>
        </is>
      </c>
      <c r="O17" s="10" t="inlineStr">
        <is>
          <t>Partial</t>
        </is>
      </c>
      <c r="P17" s="10" t="inlineStr">
        <is>
          <t>Medium</t>
        </is>
      </c>
      <c r="Q17" s="3" t="inlineStr">
        <is>
          <t>terraform/account-bootstrap/ ready</t>
        </is>
      </c>
    </row>
    <row r="18">
      <c r="A18" s="3" t="inlineStr">
        <is>
          <t>T015</t>
        </is>
      </c>
      <c r="B18" s="3" t="inlineStr">
        <is>
          <t>P2</t>
        </is>
      </c>
      <c r="C18" s="3" t="inlineStr">
        <is>
          <t>Architecture, Access &amp; Connectivity</t>
        </is>
      </c>
      <c r="D18" s="3" t="inlineStr">
        <is>
          <t>Set up IAM trust for cross-account connectivity</t>
        </is>
      </c>
      <c r="E18" s="3" t="inlineStr">
        <is>
          <t>BOTH</t>
        </is>
      </c>
      <c r="F18" s="3" t="inlineStr">
        <is>
          <t>BOTH</t>
        </is>
      </c>
      <c r="G18" s="3" t="inlineStr">
        <is>
          <t>ABSA Architect</t>
        </is>
      </c>
      <c r="H18" s="4" t="inlineStr">
        <is>
          <t>Critical</t>
        </is>
      </c>
      <c r="I18" s="3" t="n">
        <v>3</v>
      </c>
      <c r="J18" s="5" t="n">
        <v>46051</v>
      </c>
      <c r="K18" s="5" t="n">
        <v>46054</v>
      </c>
      <c r="L18" s="3">
        <f>K18-J18+1</f>
        <v/>
      </c>
      <c r="M18" s="3" t="inlineStr">
        <is>
          <t>T014</t>
        </is>
      </c>
      <c r="N18" s="6" t="inlineStr">
        <is>
          <t>Not Started</t>
        </is>
      </c>
      <c r="O18" s="10" t="inlineStr">
        <is>
          <t>Partial</t>
        </is>
      </c>
      <c r="P18" s="10" t="inlineStr">
        <is>
          <t>Medium</t>
        </is>
      </c>
      <c r="Q18" s="3" t="inlineStr">
        <is>
          <t>signing-foundation module wires policy</t>
        </is>
      </c>
    </row>
    <row r="19">
      <c r="A19" s="3" t="inlineStr">
        <is>
          <t>T016</t>
        </is>
      </c>
      <c r="B19" s="3" t="inlineStr">
        <is>
          <t>P2</t>
        </is>
      </c>
      <c r="C19" s="3" t="inlineStr">
        <is>
          <t>Architecture, Access &amp; Connectivity</t>
        </is>
      </c>
      <c r="D19" s="3" t="inlineStr">
        <is>
          <t>Complete IP whitelisting for approved endpoints</t>
        </is>
      </c>
      <c r="E19" s="3" t="inlineStr">
        <is>
          <t>ABSA</t>
        </is>
      </c>
      <c r="F19" s="3" t="inlineStr">
        <is>
          <t>ABSA</t>
        </is>
      </c>
      <c r="G19" s="3" t="inlineStr">
        <is>
          <t>ABSA Network</t>
        </is>
      </c>
      <c r="H19" s="9" t="inlineStr">
        <is>
          <t>High</t>
        </is>
      </c>
      <c r="I19" s="3" t="n">
        <v>3</v>
      </c>
      <c r="J19" s="5" t="n">
        <v>46055</v>
      </c>
      <c r="K19" s="5" t="n">
        <v>46058</v>
      </c>
      <c r="L19" s="3">
        <f>K19-J19+1</f>
        <v/>
      </c>
      <c r="M19" s="3" t="inlineStr">
        <is>
          <t>T013</t>
        </is>
      </c>
      <c r="N19" s="6" t="inlineStr">
        <is>
          <t>Not Started</t>
        </is>
      </c>
      <c r="O19" s="11" t="inlineStr">
        <is>
          <t>Blocked</t>
        </is>
      </c>
      <c r="P19" s="10" t="inlineStr">
        <is>
          <t>Medium</t>
        </is>
      </c>
      <c r="Q19" s="3" t="inlineStr">
        <is>
          <t>ABSA-side firewall rules</t>
        </is>
      </c>
    </row>
    <row r="20">
      <c r="A20" s="3" t="inlineStr">
        <is>
          <t>T017</t>
        </is>
      </c>
      <c r="B20" s="3" t="inlineStr">
        <is>
          <t>P2</t>
        </is>
      </c>
      <c r="C20" s="3" t="inlineStr">
        <is>
          <t>Architecture, Access &amp; Connectivity</t>
        </is>
      </c>
      <c r="D20" s="3" t="inlineStr">
        <is>
          <t>Share secure tunnel and connectivity details</t>
        </is>
      </c>
      <c r="E20" s="3" t="inlineStr">
        <is>
          <t>ABSA</t>
        </is>
      </c>
      <c r="F20" s="3" t="inlineStr">
        <is>
          <t>ABSA</t>
        </is>
      </c>
      <c r="G20" s="3" t="inlineStr">
        <is>
          <t>ABSA Network</t>
        </is>
      </c>
      <c r="H20" s="9" t="inlineStr">
        <is>
          <t>High</t>
        </is>
      </c>
      <c r="I20" s="3" t="n">
        <v>2</v>
      </c>
      <c r="J20" s="5" t="n">
        <v>46059</v>
      </c>
      <c r="K20" s="5" t="n">
        <v>46062</v>
      </c>
      <c r="L20" s="3">
        <f>K20-J20+1</f>
        <v/>
      </c>
      <c r="M20" s="3" t="inlineStr">
        <is>
          <t>T016</t>
        </is>
      </c>
      <c r="N20" s="6" t="inlineStr">
        <is>
          <t>Not Started</t>
        </is>
      </c>
      <c r="O20" s="11" t="inlineStr">
        <is>
          <t>Blocked</t>
        </is>
      </c>
      <c r="P20" s="10" t="inlineStr">
        <is>
          <t>Medium</t>
        </is>
      </c>
      <c r="Q20" s="3" t="inlineStr">
        <is>
          <t>VPC peering / TGW / PrivateLink decision</t>
        </is>
      </c>
    </row>
    <row r="21">
      <c r="A21" s="3" t="inlineStr">
        <is>
          <t>T018</t>
        </is>
      </c>
      <c r="B21" s="3" t="inlineStr">
        <is>
          <t>P2</t>
        </is>
      </c>
      <c r="C21" s="3" t="inlineStr">
        <is>
          <t>Architecture, Access &amp; Connectivity</t>
        </is>
      </c>
      <c r="D21" s="3" t="inlineStr">
        <is>
          <t>Configure encrypted S3 replication path</t>
        </is>
      </c>
      <c r="E21" s="3" t="inlineStr">
        <is>
          <t>BOTH</t>
        </is>
      </c>
      <c r="F21" s="3" t="inlineStr">
        <is>
          <t>BOTH</t>
        </is>
      </c>
      <c r="G21" s="3" t="inlineStr">
        <is>
          <t>ABSA Architect</t>
        </is>
      </c>
      <c r="H21" s="9" t="inlineStr">
        <is>
          <t>High</t>
        </is>
      </c>
      <c r="I21" s="3" t="n">
        <v>5</v>
      </c>
      <c r="J21" s="5" t="n">
        <v>46062</v>
      </c>
      <c r="K21" s="5" t="n">
        <v>46065</v>
      </c>
      <c r="L21" s="3">
        <f>K21-J21+1</f>
        <v/>
      </c>
      <c r="M21" s="3" t="inlineStr">
        <is>
          <t>T015,T017</t>
        </is>
      </c>
      <c r="N21" s="6" t="inlineStr">
        <is>
          <t>Not Started</t>
        </is>
      </c>
      <c r="O21" s="10" t="inlineStr">
        <is>
          <t>Partial</t>
        </is>
      </c>
      <c r="P21" s="10" t="inlineStr">
        <is>
          <t>Medium</t>
        </is>
      </c>
      <c r="Q21" s="3" t="inlineStr">
        <is>
          <t>s3-replication-{source,destination} modules ready</t>
        </is>
      </c>
    </row>
    <row r="22">
      <c r="A22" s="3" t="inlineStr">
        <is>
          <t>T019</t>
        </is>
      </c>
      <c r="B22" s="3" t="inlineStr">
        <is>
          <t>P2</t>
        </is>
      </c>
      <c r="C22" s="3" t="inlineStr">
        <is>
          <t>Architecture, Access &amp; Connectivity</t>
        </is>
      </c>
      <c r="D22" s="3" t="inlineStr">
        <is>
          <t>Validate end-to-end encrypted transfer</t>
        </is>
      </c>
      <c r="E22" s="3" t="inlineStr">
        <is>
          <t>BOTH</t>
        </is>
      </c>
      <c r="F22" s="3" t="inlineStr">
        <is>
          <t>BOTH</t>
        </is>
      </c>
      <c r="G22" s="3" t="inlineStr">
        <is>
          <t>ABSA Architect</t>
        </is>
      </c>
      <c r="H22" s="9" t="inlineStr">
        <is>
          <t>High</t>
        </is>
      </c>
      <c r="I22" s="3" t="n">
        <v>3</v>
      </c>
      <c r="J22" s="5" t="n">
        <v>46066</v>
      </c>
      <c r="K22" s="5" t="n">
        <v>46069</v>
      </c>
      <c r="L22" s="3">
        <f>K22-J22+1</f>
        <v/>
      </c>
      <c r="M22" s="3" t="inlineStr">
        <is>
          <t>T018</t>
        </is>
      </c>
      <c r="N22" s="6" t="inlineStr">
        <is>
          <t>Not Started</t>
        </is>
      </c>
      <c r="O22" s="7" t="inlineStr">
        <is>
          <t>Planned</t>
        </is>
      </c>
      <c r="P22" s="10" t="inlineStr">
        <is>
          <t>Medium</t>
        </is>
      </c>
      <c r="Q22" s="3" t="inlineStr">
        <is>
          <t>Real-account test</t>
        </is>
      </c>
    </row>
    <row r="23">
      <c r="A23" s="3" t="inlineStr">
        <is>
          <t>T020</t>
        </is>
      </c>
      <c r="B23" s="3" t="inlineStr">
        <is>
          <t>P2</t>
        </is>
      </c>
      <c r="C23" s="3" t="inlineStr">
        <is>
          <t>Architecture, Access &amp; Connectivity</t>
        </is>
      </c>
      <c r="D23" s="3" t="inlineStr">
        <is>
          <t>Finalize domain mapping for access endpoints</t>
        </is>
      </c>
      <c r="E23" s="3" t="inlineStr">
        <is>
          <t>BOTH</t>
        </is>
      </c>
      <c r="F23" s="3" t="inlineStr">
        <is>
          <t>BOTH</t>
        </is>
      </c>
      <c r="G23" s="3" t="inlineStr">
        <is>
          <t>ABSA Network</t>
        </is>
      </c>
      <c r="H23" s="3" t="inlineStr">
        <is>
          <t>Medium</t>
        </is>
      </c>
      <c r="I23" s="3" t="n">
        <v>3</v>
      </c>
      <c r="J23" s="5" t="n">
        <v>46070</v>
      </c>
      <c r="K23" s="5" t="n">
        <v>46073</v>
      </c>
      <c r="L23" s="3">
        <f>K23-J23+1</f>
        <v/>
      </c>
      <c r="M23" s="3" t="inlineStr">
        <is>
          <t>T015</t>
        </is>
      </c>
      <c r="N23" s="6" t="inlineStr">
        <is>
          <t>Not Started</t>
        </is>
      </c>
      <c r="O23" s="7" t="inlineStr">
        <is>
          <t>Planned</t>
        </is>
      </c>
      <c r="P23" s="8" t="inlineStr">
        <is>
          <t>Low</t>
        </is>
      </c>
      <c r="Q23" s="3" t="inlineStr">
        <is>
          <t>DNS / Route 53 plan</t>
        </is>
      </c>
    </row>
    <row r="24">
      <c r="A24" s="3" t="inlineStr">
        <is>
          <t>T021</t>
        </is>
      </c>
      <c r="B24" s="3" t="inlineStr">
        <is>
          <t>P2</t>
        </is>
      </c>
      <c r="C24" s="3" t="inlineStr">
        <is>
          <t>Architecture, Access &amp; Connectivity</t>
        </is>
      </c>
      <c r="D24" s="3" t="inlineStr">
        <is>
          <t>Configure SSO federation</t>
        </is>
      </c>
      <c r="E24" s="3" t="inlineStr">
        <is>
          <t>BOTH</t>
        </is>
      </c>
      <c r="F24" s="3" t="inlineStr">
        <is>
          <t>BOTH</t>
        </is>
      </c>
      <c r="G24" s="3" t="inlineStr">
        <is>
          <t>ABSA Identity</t>
        </is>
      </c>
      <c r="H24" s="9" t="inlineStr">
        <is>
          <t>High</t>
        </is>
      </c>
      <c r="I24" s="3" t="n">
        <v>5</v>
      </c>
      <c r="J24" s="5" t="n">
        <v>46073</v>
      </c>
      <c r="K24" s="5" t="n">
        <v>46076</v>
      </c>
      <c r="L24" s="3">
        <f>K24-J24+1</f>
        <v/>
      </c>
      <c r="M24" s="3" t="inlineStr">
        <is>
          <t>T015</t>
        </is>
      </c>
      <c r="N24" s="6" t="inlineStr">
        <is>
          <t>Not Started</t>
        </is>
      </c>
      <c r="O24" s="7" t="inlineStr">
        <is>
          <t>Planned</t>
        </is>
      </c>
      <c r="P24" s="10" t="inlineStr">
        <is>
          <t>Medium</t>
        </is>
      </c>
      <c r="Q24" s="3" t="inlineStr">
        <is>
          <t>Identity provider integration</t>
        </is>
      </c>
    </row>
    <row r="25">
      <c r="A25" s="3" t="inlineStr">
        <is>
          <t>T022</t>
        </is>
      </c>
      <c r="B25" s="3" t="inlineStr">
        <is>
          <t>P2</t>
        </is>
      </c>
      <c r="C25" s="3" t="inlineStr">
        <is>
          <t>Architecture, Access &amp; Connectivity</t>
        </is>
      </c>
      <c r="D25" s="3" t="inlineStr">
        <is>
          <t>Joint SSO testing + sign-off</t>
        </is>
      </c>
      <c r="E25" s="3" t="inlineStr">
        <is>
          <t>BOTH</t>
        </is>
      </c>
      <c r="F25" s="3" t="inlineStr">
        <is>
          <t>BOTH</t>
        </is>
      </c>
      <c r="G25" s="3" t="inlineStr">
        <is>
          <t>ABSA Identity</t>
        </is>
      </c>
      <c r="H25" s="9" t="inlineStr">
        <is>
          <t>High</t>
        </is>
      </c>
      <c r="I25" s="3" t="n">
        <v>3</v>
      </c>
      <c r="J25" s="5" t="n">
        <v>46077</v>
      </c>
      <c r="K25" s="5" t="n">
        <v>46080</v>
      </c>
      <c r="L25" s="3">
        <f>K25-J25+1</f>
        <v/>
      </c>
      <c r="M25" s="3" t="inlineStr">
        <is>
          <t>T021</t>
        </is>
      </c>
      <c r="N25" s="6" t="inlineStr">
        <is>
          <t>Not Started</t>
        </is>
      </c>
      <c r="O25" s="7" t="inlineStr">
        <is>
          <t>Planned</t>
        </is>
      </c>
      <c r="P25" s="10" t="inlineStr">
        <is>
          <t>Medium</t>
        </is>
      </c>
      <c r="Q25" s="3" t="inlineStr">
        <is>
          <t>After Phase 2 dependencies clear</t>
        </is>
      </c>
    </row>
    <row r="26">
      <c r="A26" s="3" t="inlineStr">
        <is>
          <t>T023</t>
        </is>
      </c>
      <c r="B26" s="3" t="inlineStr">
        <is>
          <t>P3</t>
        </is>
      </c>
      <c r="C26" s="3" t="inlineStr">
        <is>
          <t>Data &amp; Code Readiness</t>
        </is>
      </c>
      <c r="D26" s="3" t="inlineStr">
        <is>
          <t>Confirm source datasets + file structure per model</t>
        </is>
      </c>
      <c r="E26" s="3" t="inlineStr">
        <is>
          <t>ABSA</t>
        </is>
      </c>
      <c r="F26" s="3" t="inlineStr">
        <is>
          <t>ABSA</t>
        </is>
      </c>
      <c r="G26" s="3" t="inlineStr">
        <is>
          <t>ABSA Data Owner</t>
        </is>
      </c>
      <c r="H26" s="4" t="inlineStr">
        <is>
          <t>Critical</t>
        </is>
      </c>
      <c r="I26" s="3" t="n">
        <v>5</v>
      </c>
      <c r="J26" s="5" t="n">
        <v>46037</v>
      </c>
      <c r="K26" s="5" t="n">
        <v>46041</v>
      </c>
      <c r="L26" s="3">
        <f>K26-J26+1</f>
        <v/>
      </c>
      <c r="M26" s="3" t="inlineStr">
        <is>
          <t>T005</t>
        </is>
      </c>
      <c r="N26" s="6" t="inlineStr">
        <is>
          <t>Not Started</t>
        </is>
      </c>
      <c r="O26" s="11" t="inlineStr">
        <is>
          <t>Blocked</t>
        </is>
      </c>
      <c r="P26" s="11" t="inlineStr">
        <is>
          <t>High</t>
        </is>
      </c>
      <c r="Q26" s="3" t="inlineStr">
        <is>
          <t>Per-model data dictionary</t>
        </is>
      </c>
    </row>
    <row r="27">
      <c r="A27" s="3" t="inlineStr">
        <is>
          <t>T024</t>
        </is>
      </c>
      <c r="B27" s="3" t="inlineStr">
        <is>
          <t>P3</t>
        </is>
      </c>
      <c r="C27" s="3" t="inlineStr">
        <is>
          <t>Data &amp; Code Readiness</t>
        </is>
      </c>
      <c r="D27" s="3" t="inlineStr">
        <is>
          <t>Freeze input variables + requirements (initial set)</t>
        </is>
      </c>
      <c r="E27" s="3" t="inlineStr">
        <is>
          <t>ABSA</t>
        </is>
      </c>
      <c r="F27" s="3" t="inlineStr">
        <is>
          <t>ABSA</t>
        </is>
      </c>
      <c r="G27" s="3" t="inlineStr">
        <is>
          <t>ABSA Risk Owner</t>
        </is>
      </c>
      <c r="H27" s="4" t="inlineStr">
        <is>
          <t>Critical</t>
        </is>
      </c>
      <c r="I27" s="3" t="n">
        <v>5</v>
      </c>
      <c r="J27" s="5" t="n">
        <v>46041</v>
      </c>
      <c r="K27" s="5" t="n">
        <v>46045</v>
      </c>
      <c r="L27" s="3">
        <f>K27-J27+1</f>
        <v/>
      </c>
      <c r="M27" s="3" t="inlineStr">
        <is>
          <t>T023</t>
        </is>
      </c>
      <c r="N27" s="6" t="inlineStr">
        <is>
          <t>Not Started</t>
        </is>
      </c>
      <c r="O27" s="11" t="inlineStr">
        <is>
          <t>Blocked</t>
        </is>
      </c>
      <c r="P27" s="11" t="inlineStr">
        <is>
          <t>High</t>
        </is>
      </c>
      <c r="Q27" s="3" t="inlineStr">
        <is>
          <t>PIR mapping authority</t>
        </is>
      </c>
    </row>
    <row r="28">
      <c r="A28" s="3" t="inlineStr">
        <is>
          <t>T025</t>
        </is>
      </c>
      <c r="B28" s="3" t="inlineStr">
        <is>
          <t>P3</t>
        </is>
      </c>
      <c r="C28" s="3" t="inlineStr">
        <is>
          <t>Data &amp; Code Readiness</t>
        </is>
      </c>
      <c r="D28" s="3" t="inlineStr">
        <is>
          <t>Provide access to original dev environment</t>
        </is>
      </c>
      <c r="E28" s="3" t="inlineStr">
        <is>
          <t>ABSA</t>
        </is>
      </c>
      <c r="F28" s="3" t="inlineStr">
        <is>
          <t>ABSA</t>
        </is>
      </c>
      <c r="G28" s="3" t="inlineStr">
        <is>
          <t>ABSA Model Owner</t>
        </is>
      </c>
      <c r="H28" s="9" t="inlineStr">
        <is>
          <t>High</t>
        </is>
      </c>
      <c r="I28" s="3" t="n">
        <v>5</v>
      </c>
      <c r="J28" s="5" t="n">
        <v>46046</v>
      </c>
      <c r="K28" s="5" t="n">
        <v>46050</v>
      </c>
      <c r="L28" s="3">
        <f>K28-J28+1</f>
        <v/>
      </c>
      <c r="M28" s="3" t="inlineStr">
        <is>
          <t>T024</t>
        </is>
      </c>
      <c r="N28" s="6" t="inlineStr">
        <is>
          <t>Not Started</t>
        </is>
      </c>
      <c r="O28" s="11" t="inlineStr">
        <is>
          <t>Blocked</t>
        </is>
      </c>
      <c r="P28" s="10" t="inlineStr">
        <is>
          <t>Medium</t>
        </is>
      </c>
      <c r="Q28" s="3" t="inlineStr">
        <is>
          <t>For code optimization (Phase 6)</t>
        </is>
      </c>
    </row>
    <row r="29">
      <c r="A29" s="3" t="inlineStr">
        <is>
          <t>T026</t>
        </is>
      </c>
      <c r="B29" s="3" t="inlineStr">
        <is>
          <t>P3</t>
        </is>
      </c>
      <c r="C29" s="3" t="inlineStr">
        <is>
          <t>Data &amp; Code Readiness</t>
        </is>
      </c>
      <c r="D29" s="3" t="inlineStr">
        <is>
          <t>Prepare scoring-ready data at agreed cadence</t>
        </is>
      </c>
      <c r="E29" s="3" t="inlineStr">
        <is>
          <t>EXL (ABSA Side)</t>
        </is>
      </c>
      <c r="F29" s="3" t="inlineStr">
        <is>
          <t>EXL (ABSA Side)</t>
        </is>
      </c>
      <c r="G29" s="3" t="inlineStr">
        <is>
          <t>ABSA Data Owner</t>
        </is>
      </c>
      <c r="H29" s="9" t="inlineStr">
        <is>
          <t>High</t>
        </is>
      </c>
      <c r="I29" s="3" t="n">
        <v>8</v>
      </c>
      <c r="J29" s="5" t="n">
        <v>46051</v>
      </c>
      <c r="K29" s="5" t="n">
        <v>46055</v>
      </c>
      <c r="L29" s="3">
        <f>K29-J29+1</f>
        <v/>
      </c>
      <c r="M29" s="3" t="inlineStr">
        <is>
          <t>T024</t>
        </is>
      </c>
      <c r="N29" s="6" t="inlineStr">
        <is>
          <t>Not Started</t>
        </is>
      </c>
      <c r="O29" s="11" t="inlineStr">
        <is>
          <t>Blocked</t>
        </is>
      </c>
      <c r="P29" s="10" t="inlineStr">
        <is>
          <t>Medium</t>
        </is>
      </c>
      <c r="Q29" s="3" t="inlineStr">
        <is>
          <t>EXL operates inside ABSA's data plane</t>
        </is>
      </c>
    </row>
    <row r="30">
      <c r="A30" s="3" t="inlineStr">
        <is>
          <t>T027</t>
        </is>
      </c>
      <c r="B30" s="3" t="inlineStr">
        <is>
          <t>P3</t>
        </is>
      </c>
      <c r="C30" s="3" t="inlineStr">
        <is>
          <t>Data &amp; Code Readiness</t>
        </is>
      </c>
      <c r="D30" s="3" t="inlineStr">
        <is>
          <t>Prepare signed code package with documentation</t>
        </is>
      </c>
      <c r="E30" s="3" t="inlineStr">
        <is>
          <t>ABSA</t>
        </is>
      </c>
      <c r="F30" s="3" t="inlineStr">
        <is>
          <t>ABSA</t>
        </is>
      </c>
      <c r="G30" s="3" t="inlineStr">
        <is>
          <t>ABSA Model Owner</t>
        </is>
      </c>
      <c r="H30" s="4" t="inlineStr">
        <is>
          <t>Critical</t>
        </is>
      </c>
      <c r="I30" s="3" t="n">
        <v>8</v>
      </c>
      <c r="J30" s="5" t="n">
        <v>46056</v>
      </c>
      <c r="K30" s="5" t="n">
        <v>46060</v>
      </c>
      <c r="L30" s="3">
        <f>K30-J30+1</f>
        <v/>
      </c>
      <c r="M30" s="3" t="inlineStr">
        <is>
          <t>T008</t>
        </is>
      </c>
      <c r="N30" s="6" t="inlineStr">
        <is>
          <t>Not Started</t>
        </is>
      </c>
      <c r="O30" s="11" t="inlineStr">
        <is>
          <t>Blocked</t>
        </is>
      </c>
      <c r="P30" s="11" t="inlineStr">
        <is>
          <t>High</t>
        </is>
      </c>
      <c r="Q30" s="3" t="inlineStr">
        <is>
          <t>Package contract spec is in repo (ADR-0010)</t>
        </is>
      </c>
    </row>
    <row r="31">
      <c r="A31" s="3" t="inlineStr">
        <is>
          <t>T028</t>
        </is>
      </c>
      <c r="B31" s="3" t="inlineStr">
        <is>
          <t>P3</t>
        </is>
      </c>
      <c r="C31" s="3" t="inlineStr">
        <is>
          <t>Data &amp; Code Readiness</t>
        </is>
      </c>
      <c r="D31" s="3" t="inlineStr">
        <is>
          <t>Transfer scoring-ready data, code, benchmarks to EXL</t>
        </is>
      </c>
      <c r="E31" s="3" t="inlineStr">
        <is>
          <t>ABSA</t>
        </is>
      </c>
      <c r="F31" s="3" t="inlineStr">
        <is>
          <t>ABSA</t>
        </is>
      </c>
      <c r="G31" s="3" t="inlineStr">
        <is>
          <t>ABSA Data Owner</t>
        </is>
      </c>
      <c r="H31" s="4" t="inlineStr">
        <is>
          <t>Critical</t>
        </is>
      </c>
      <c r="I31" s="3" t="n">
        <v>3</v>
      </c>
      <c r="J31" s="5" t="n">
        <v>46061</v>
      </c>
      <c r="K31" s="5" t="n">
        <v>46065</v>
      </c>
      <c r="L31" s="3">
        <f>K31-J31+1</f>
        <v/>
      </c>
      <c r="M31" s="3" t="inlineStr">
        <is>
          <t>T019,T026,T027</t>
        </is>
      </c>
      <c r="N31" s="6" t="inlineStr">
        <is>
          <t>Not Started</t>
        </is>
      </c>
      <c r="O31" s="11" t="inlineStr">
        <is>
          <t>Blocked</t>
        </is>
      </c>
      <c r="P31" s="10" t="inlineStr">
        <is>
          <t>Medium</t>
        </is>
      </c>
      <c r="Q31" s="3" t="inlineStr">
        <is>
          <t>Cross-account S3 replication path</t>
        </is>
      </c>
    </row>
    <row r="32">
      <c r="A32" s="3" t="inlineStr">
        <is>
          <t>T029</t>
        </is>
      </c>
      <c r="B32" s="3" t="inlineStr">
        <is>
          <t>P3</t>
        </is>
      </c>
      <c r="C32" s="3" t="inlineStr">
        <is>
          <t>Data &amp; Code Readiness</t>
        </is>
      </c>
      <c r="D32" s="3" t="inlineStr">
        <is>
          <t>Validate receipt, completeness, integrity [Vishnu's Repo]</t>
        </is>
      </c>
      <c r="E32" s="3" t="inlineStr">
        <is>
          <t>EXL</t>
        </is>
      </c>
      <c r="F32" s="3" t="inlineStr">
        <is>
          <t>EXL</t>
        </is>
      </c>
      <c r="G32" s="3" t="inlineStr">
        <is>
          <t>Tech Lead</t>
        </is>
      </c>
      <c r="H32" s="4" t="inlineStr">
        <is>
          <t>Critical</t>
        </is>
      </c>
      <c r="I32" s="3" t="n">
        <v>2</v>
      </c>
      <c r="J32" s="5" t="n">
        <v>46066</v>
      </c>
      <c r="K32" s="5" t="n">
        <v>46070</v>
      </c>
      <c r="L32" s="3">
        <f>K32-J32+1</f>
        <v/>
      </c>
      <c r="M32" s="3" t="inlineStr">
        <is>
          <t>T028</t>
        </is>
      </c>
      <c r="N32" s="8" t="inlineStr">
        <is>
          <t>Done</t>
        </is>
      </c>
      <c r="O32" s="8" t="inlineStr">
        <is>
          <t>Done</t>
        </is>
      </c>
      <c r="P32" s="8" t="inlineStr">
        <is>
          <t>Low</t>
        </is>
      </c>
      <c r="Q32" s="3" t="inlineStr">
        <is>
          <t>code-intake validate runs 5 checkers</t>
        </is>
      </c>
    </row>
    <row r="33">
      <c r="A33" s="3" t="inlineStr">
        <is>
          <t>T030</t>
        </is>
      </c>
      <c r="B33" s="3" t="inlineStr">
        <is>
          <t>P3</t>
        </is>
      </c>
      <c r="C33" s="3" t="inlineStr">
        <is>
          <t>Data &amp; Code Readiness</t>
        </is>
      </c>
      <c r="D33" s="3" t="inlineStr">
        <is>
          <t>Run data-quality checks: schema, volume, drift [Vishnu's Repo]</t>
        </is>
      </c>
      <c r="E33" s="3" t="inlineStr">
        <is>
          <t>EXL</t>
        </is>
      </c>
      <c r="F33" s="3" t="inlineStr">
        <is>
          <t>EXL</t>
        </is>
      </c>
      <c r="G33" s="3" t="inlineStr">
        <is>
          <t>Tech Lead</t>
        </is>
      </c>
      <c r="H33" s="9" t="inlineStr">
        <is>
          <t>High</t>
        </is>
      </c>
      <c r="I33" s="3" t="n">
        <v>3</v>
      </c>
      <c r="J33" s="5" t="n">
        <v>46071</v>
      </c>
      <c r="K33" s="5" t="n">
        <v>46075</v>
      </c>
      <c r="L33" s="3">
        <f>K33-J33+1</f>
        <v/>
      </c>
      <c r="M33" s="3" t="inlineStr">
        <is>
          <t>T029</t>
        </is>
      </c>
      <c r="N33" s="12" t="inlineStr">
        <is>
          <t>In Progress</t>
        </is>
      </c>
      <c r="O33" s="10" t="inlineStr">
        <is>
          <t>Partial</t>
        </is>
      </c>
      <c r="P33" s="10" t="inlineStr">
        <is>
          <t>Medium</t>
        </is>
      </c>
      <c r="Q33" s="3" t="inlineStr">
        <is>
          <t>Schema + PIR coverage done; volume + drift TBD</t>
        </is>
      </c>
    </row>
    <row r="34">
      <c r="A34" s="3" t="inlineStr">
        <is>
          <t>T031</t>
        </is>
      </c>
      <c r="B34" s="3" t="inlineStr">
        <is>
          <t>P3</t>
        </is>
      </c>
      <c r="C34" s="3" t="inlineStr">
        <is>
          <t>Data &amp; Code Readiness</t>
        </is>
      </c>
      <c r="D34" s="3" t="inlineStr">
        <is>
          <t>Review and resolve data/code intake issues</t>
        </is>
      </c>
      <c r="E34" s="3" t="inlineStr">
        <is>
          <t>BOTH</t>
        </is>
      </c>
      <c r="F34" s="3" t="inlineStr">
        <is>
          <t>BOTH</t>
        </is>
      </c>
      <c r="G34" s="3" t="inlineStr">
        <is>
          <t>ABSA Data Owner</t>
        </is>
      </c>
      <c r="H34" s="9" t="inlineStr">
        <is>
          <t>High</t>
        </is>
      </c>
      <c r="I34" s="3" t="n">
        <v>5</v>
      </c>
      <c r="J34" s="5" t="n">
        <v>46076</v>
      </c>
      <c r="K34" s="5" t="n">
        <v>46080</v>
      </c>
      <c r="L34" s="3">
        <f>K34-J34+1</f>
        <v/>
      </c>
      <c r="M34" s="3" t="inlineStr">
        <is>
          <t>T029,T030</t>
        </is>
      </c>
      <c r="N34" s="6" t="inlineStr">
        <is>
          <t>Not Started</t>
        </is>
      </c>
      <c r="O34" s="7" t="inlineStr">
        <is>
          <t>Planned</t>
        </is>
      </c>
      <c r="P34" s="10" t="inlineStr">
        <is>
          <t>Medium</t>
        </is>
      </c>
      <c r="Q34" s="3" t="inlineStr">
        <is>
          <t>Triage process per model</t>
        </is>
      </c>
    </row>
    <row r="35">
      <c r="A35" s="3" t="inlineStr">
        <is>
          <t>T032</t>
        </is>
      </c>
      <c r="B35" s="3" t="inlineStr">
        <is>
          <t>P4</t>
        </is>
      </c>
      <c r="C35" s="3" t="inlineStr">
        <is>
          <t>Platform Foundation Build</t>
        </is>
      </c>
      <c r="D35" s="3" t="inlineStr">
        <is>
          <t>Build AWS landing zone + core networking</t>
        </is>
      </c>
      <c r="E35" s="3" t="inlineStr">
        <is>
          <t>EXL</t>
        </is>
      </c>
      <c r="F35" s="3" t="inlineStr">
        <is>
          <t>EXL</t>
        </is>
      </c>
      <c r="G35" s="3" t="inlineStr">
        <is>
          <t>Tech Lead</t>
        </is>
      </c>
      <c r="H35" s="4" t="inlineStr">
        <is>
          <t>Critical</t>
        </is>
      </c>
      <c r="I35" s="3" t="n">
        <v>10</v>
      </c>
      <c r="J35" s="5" t="n">
        <v>46054</v>
      </c>
      <c r="K35" s="5" t="n">
        <v>46059</v>
      </c>
      <c r="L35" s="3">
        <f>K35-J35+1</f>
        <v/>
      </c>
      <c r="M35" s="3" t="inlineStr">
        <is>
          <t>T014</t>
        </is>
      </c>
      <c r="N35" s="6" t="inlineStr">
        <is>
          <t>Not Started</t>
        </is>
      </c>
      <c r="O35" s="10" t="inlineStr">
        <is>
          <t>Partial</t>
        </is>
      </c>
      <c r="P35" s="10" t="inlineStr">
        <is>
          <t>Medium</t>
        </is>
      </c>
      <c r="Q35" s="3" t="inlineStr">
        <is>
          <t>Modules ready; apply on real accounts</t>
        </is>
      </c>
    </row>
    <row r="36">
      <c r="A36" s="3" t="inlineStr">
        <is>
          <t>T033</t>
        </is>
      </c>
      <c r="B36" s="3" t="inlineStr">
        <is>
          <t>P4</t>
        </is>
      </c>
      <c r="C36" s="3" t="inlineStr">
        <is>
          <t>Platform Foundation Build</t>
        </is>
      </c>
      <c r="D36" s="3" t="inlineStr">
        <is>
          <t>Configure IAM roles, KMS keys, secrets</t>
        </is>
      </c>
      <c r="E36" s="3" t="inlineStr">
        <is>
          <t>EXL</t>
        </is>
      </c>
      <c r="F36" s="3" t="inlineStr">
        <is>
          <t>EXL</t>
        </is>
      </c>
      <c r="G36" s="3" t="inlineStr">
        <is>
          <t>Tech Lead</t>
        </is>
      </c>
      <c r="H36" s="4" t="inlineStr">
        <is>
          <t>Critical</t>
        </is>
      </c>
      <c r="I36" s="3" t="n">
        <v>8</v>
      </c>
      <c r="J36" s="5" t="n">
        <v>46059</v>
      </c>
      <c r="K36" s="5" t="n">
        <v>46064</v>
      </c>
      <c r="L36" s="3">
        <f>K36-J36+1</f>
        <v/>
      </c>
      <c r="M36" s="3" t="inlineStr">
        <is>
          <t>T032</t>
        </is>
      </c>
      <c r="N36" s="6" t="inlineStr">
        <is>
          <t>Not Started</t>
        </is>
      </c>
      <c r="O36" s="10" t="inlineStr">
        <is>
          <t>Partial</t>
        </is>
      </c>
      <c r="P36" s="10" t="inlineStr">
        <is>
          <t>Medium</t>
        </is>
      </c>
      <c r="Q36" s="3" t="inlineStr">
        <is>
          <t>signing-foundation module ready</t>
        </is>
      </c>
    </row>
    <row r="37">
      <c r="A37" s="3" t="inlineStr">
        <is>
          <t>T034</t>
        </is>
      </c>
      <c r="B37" s="3" t="inlineStr">
        <is>
          <t>P4</t>
        </is>
      </c>
      <c r="C37" s="3" t="inlineStr">
        <is>
          <t>Platform Foundation Build</t>
        </is>
      </c>
      <c r="D37" s="3" t="inlineStr">
        <is>
          <t>Set up ML compute platform for model runs</t>
        </is>
      </c>
      <c r="E37" s="3" t="inlineStr">
        <is>
          <t>EXL</t>
        </is>
      </c>
      <c r="F37" s="3" t="inlineStr">
        <is>
          <t>EXL</t>
        </is>
      </c>
      <c r="G37" s="3" t="inlineStr">
        <is>
          <t>Tech Lead</t>
        </is>
      </c>
      <c r="H37" s="4" t="inlineStr">
        <is>
          <t>Critical</t>
        </is>
      </c>
      <c r="I37" s="3" t="n">
        <v>15</v>
      </c>
      <c r="J37" s="5" t="n">
        <v>46065</v>
      </c>
      <c r="K37" s="5" t="n">
        <v>46070</v>
      </c>
      <c r="L37" s="3">
        <f>K37-J37+1</f>
        <v/>
      </c>
      <c r="M37" s="3" t="inlineStr">
        <is>
          <t>T033</t>
        </is>
      </c>
      <c r="N37" s="6" t="inlineStr">
        <is>
          <t>Not Started</t>
        </is>
      </c>
      <c r="O37" s="7" t="inlineStr">
        <is>
          <t>Planned</t>
        </is>
      </c>
      <c r="P37" s="11" t="inlineStr">
        <is>
          <t>High</t>
        </is>
      </c>
      <c r="Q37" s="3" t="inlineStr">
        <is>
          <t>Choice: SFN+Lambda vs SageMaker (decision needed)</t>
        </is>
      </c>
    </row>
    <row r="38">
      <c r="A38" s="3" t="inlineStr">
        <is>
          <t>T035</t>
        </is>
      </c>
      <c r="B38" s="3" t="inlineStr">
        <is>
          <t>P4</t>
        </is>
      </c>
      <c r="C38" s="3" t="inlineStr">
        <is>
          <t>Platform Foundation Build</t>
        </is>
      </c>
      <c r="D38" s="3" t="inlineStr">
        <is>
          <t>Create model registry + version control standards</t>
        </is>
      </c>
      <c r="E38" s="3" t="inlineStr">
        <is>
          <t>EXL</t>
        </is>
      </c>
      <c r="F38" s="3" t="inlineStr">
        <is>
          <t>EXL</t>
        </is>
      </c>
      <c r="G38" s="3" t="inlineStr">
        <is>
          <t>Tech Lead</t>
        </is>
      </c>
      <c r="H38" s="4" t="inlineStr">
        <is>
          <t>Critical</t>
        </is>
      </c>
      <c r="I38" s="3" t="n">
        <v>5</v>
      </c>
      <c r="J38" s="5" t="n">
        <v>46071</v>
      </c>
      <c r="K38" s="5" t="n">
        <v>46076</v>
      </c>
      <c r="L38" s="3">
        <f>K38-J38+1</f>
        <v/>
      </c>
      <c r="M38" s="3" t="inlineStr">
        <is>
          <t>T033</t>
        </is>
      </c>
      <c r="N38" s="8" t="inlineStr">
        <is>
          <t>Done</t>
        </is>
      </c>
      <c r="O38" s="8" t="inlineStr">
        <is>
          <t>Done</t>
        </is>
      </c>
      <c r="P38" s="8" t="inlineStr">
        <is>
          <t>Low</t>
        </is>
      </c>
      <c r="Q38" s="3" t="inlineStr">
        <is>
          <t>registry-api FastAPI + DynamoDB</t>
        </is>
      </c>
    </row>
    <row r="39">
      <c r="A39" s="3" t="inlineStr">
        <is>
          <t>T036</t>
        </is>
      </c>
      <c r="B39" s="3" t="inlineStr">
        <is>
          <t>P4</t>
        </is>
      </c>
      <c r="C39" s="3" t="inlineStr">
        <is>
          <t>Platform Foundation Build</t>
        </is>
      </c>
      <c r="D39" s="3" t="inlineStr">
        <is>
          <t>Set up feature metadata + lineage capture</t>
        </is>
      </c>
      <c r="E39" s="3" t="inlineStr">
        <is>
          <t>EXL</t>
        </is>
      </c>
      <c r="F39" s="3" t="inlineStr">
        <is>
          <t>EXL</t>
        </is>
      </c>
      <c r="G39" s="3" t="inlineStr">
        <is>
          <t>Tech Lead</t>
        </is>
      </c>
      <c r="H39" s="9" t="inlineStr">
        <is>
          <t>High</t>
        </is>
      </c>
      <c r="I39" s="3" t="n">
        <v>8</v>
      </c>
      <c r="J39" s="5" t="n">
        <v>46077</v>
      </c>
      <c r="K39" s="5" t="n">
        <v>46082</v>
      </c>
      <c r="L39" s="3">
        <f>K39-J39+1</f>
        <v/>
      </c>
      <c r="M39" s="3" t="inlineStr">
        <is>
          <t>T035</t>
        </is>
      </c>
      <c r="N39" s="12" t="inlineStr">
        <is>
          <t>In Progress</t>
        </is>
      </c>
      <c r="O39" s="10" t="inlineStr">
        <is>
          <t>Partial</t>
        </is>
      </c>
      <c r="P39" s="10" t="inlineStr">
        <is>
          <t>Medium</t>
        </is>
      </c>
      <c r="Q39" s="3" t="inlineStr">
        <is>
          <t>PIR captures input lineage; output TBD</t>
        </is>
      </c>
    </row>
    <row r="40">
      <c r="A40" s="3" t="inlineStr">
        <is>
          <t>T037</t>
        </is>
      </c>
      <c r="B40" s="3" t="inlineStr">
        <is>
          <t>P4</t>
        </is>
      </c>
      <c r="C40" s="3" t="inlineStr">
        <is>
          <t>Platform Foundation Build</t>
        </is>
      </c>
      <c r="D40" s="3" t="inlineStr">
        <is>
          <t>Set up CI/CD pipelines for deployment + rollback</t>
        </is>
      </c>
      <c r="E40" s="3" t="inlineStr">
        <is>
          <t>EXL</t>
        </is>
      </c>
      <c r="F40" s="3" t="inlineStr">
        <is>
          <t>EXL</t>
        </is>
      </c>
      <c r="G40" s="3" t="inlineStr">
        <is>
          <t>Tech Lead</t>
        </is>
      </c>
      <c r="H40" s="9" t="inlineStr">
        <is>
          <t>High</t>
        </is>
      </c>
      <c r="I40" s="3" t="n">
        <v>10</v>
      </c>
      <c r="J40" s="5" t="n">
        <v>46083</v>
      </c>
      <c r="K40" s="5" t="n">
        <v>46088</v>
      </c>
      <c r="L40" s="3">
        <f>K40-J40+1</f>
        <v/>
      </c>
      <c r="M40" s="3" t="inlineStr">
        <is>
          <t>T032</t>
        </is>
      </c>
      <c r="N40" s="12" t="inlineStr">
        <is>
          <t>In Progress</t>
        </is>
      </c>
      <c r="O40" s="10" t="inlineStr">
        <is>
          <t>Partial</t>
        </is>
      </c>
      <c r="P40" s="10" t="inlineStr">
        <is>
          <t>Medium</t>
        </is>
      </c>
      <c r="Q40" s="3" t="inlineStr">
        <is>
          <t>GH Actions workflows in place</t>
        </is>
      </c>
    </row>
    <row r="41">
      <c r="A41" s="3" t="inlineStr">
        <is>
          <t>T038</t>
        </is>
      </c>
      <c r="B41" s="3" t="inlineStr">
        <is>
          <t>P4</t>
        </is>
      </c>
      <c r="C41" s="3" t="inlineStr">
        <is>
          <t>Platform Foundation Build</t>
        </is>
      </c>
      <c r="D41" s="3" t="inlineStr">
        <is>
          <t>Create infrastructure-as-code templates</t>
        </is>
      </c>
      <c r="E41" s="3" t="inlineStr">
        <is>
          <t>EXL</t>
        </is>
      </c>
      <c r="F41" s="3" t="inlineStr">
        <is>
          <t>EXL</t>
        </is>
      </c>
      <c r="G41" s="3" t="inlineStr">
        <is>
          <t>Tech Lead</t>
        </is>
      </c>
      <c r="H41" s="9" t="inlineStr">
        <is>
          <t>High</t>
        </is>
      </c>
      <c r="I41" s="3" t="n">
        <v>5</v>
      </c>
      <c r="J41" s="5" t="n">
        <v>46088</v>
      </c>
      <c r="K41" s="5" t="n">
        <v>46093</v>
      </c>
      <c r="L41" s="3">
        <f>K41-J41+1</f>
        <v/>
      </c>
      <c r="M41" s="3" t="inlineStr">
        <is>
          <t>T032</t>
        </is>
      </c>
      <c r="N41" s="8" t="inlineStr">
        <is>
          <t>Done</t>
        </is>
      </c>
      <c r="O41" s="8" t="inlineStr">
        <is>
          <t>Done</t>
        </is>
      </c>
      <c r="P41" s="8" t="inlineStr">
        <is>
          <t>Low</t>
        </is>
      </c>
      <c r="Q41" s="3" t="inlineStr">
        <is>
          <t>All terraform/ modules + per-env stacks</t>
        </is>
      </c>
    </row>
    <row r="42">
      <c r="A42" s="3" t="inlineStr">
        <is>
          <t>T039</t>
        </is>
      </c>
      <c r="B42" s="3" t="inlineStr">
        <is>
          <t>P4</t>
        </is>
      </c>
      <c r="C42" s="3" t="inlineStr">
        <is>
          <t>Platform Foundation Build</t>
        </is>
      </c>
      <c r="D42" s="3" t="inlineStr">
        <is>
          <t>Set up observability, logging, alerts [Vishnu's Repo]</t>
        </is>
      </c>
      <c r="E42" s="3" t="inlineStr">
        <is>
          <t>EXL</t>
        </is>
      </c>
      <c r="F42" s="3" t="inlineStr">
        <is>
          <t>EXL</t>
        </is>
      </c>
      <c r="G42" s="3" t="inlineStr">
        <is>
          <t>Tech Lead</t>
        </is>
      </c>
      <c r="H42" s="9" t="inlineStr">
        <is>
          <t>High</t>
        </is>
      </c>
      <c r="I42" s="3" t="n">
        <v>8</v>
      </c>
      <c r="J42" s="5" t="n">
        <v>46094</v>
      </c>
      <c r="K42" s="5" t="n">
        <v>46099</v>
      </c>
      <c r="L42" s="3">
        <f>K42-J42+1</f>
        <v/>
      </c>
      <c r="M42" s="3" t="inlineStr">
        <is>
          <t>T037</t>
        </is>
      </c>
      <c r="N42" s="12" t="inlineStr">
        <is>
          <t>In Progress</t>
        </is>
      </c>
      <c r="O42" s="10" t="inlineStr">
        <is>
          <t>Partial</t>
        </is>
      </c>
      <c r="P42" s="10" t="inlineStr">
        <is>
          <t>Medium</t>
        </is>
      </c>
      <c r="Q42" s="3" t="inlineStr">
        <is>
          <t>Audit emission done; dashboards TBD</t>
        </is>
      </c>
    </row>
    <row r="43">
      <c r="A43" s="3" t="inlineStr">
        <is>
          <t>T040</t>
        </is>
      </c>
      <c r="B43" s="3" t="inlineStr">
        <is>
          <t>P4</t>
        </is>
      </c>
      <c r="C43" s="3" t="inlineStr">
        <is>
          <t>Platform Foundation Build</t>
        </is>
      </c>
      <c r="D43" s="3" t="inlineStr">
        <is>
          <t>Set up audit trail + evidence capture</t>
        </is>
      </c>
      <c r="E43" s="3" t="inlineStr">
        <is>
          <t>EXL</t>
        </is>
      </c>
      <c r="F43" s="3" t="inlineStr">
        <is>
          <t>EXL</t>
        </is>
      </c>
      <c r="G43" s="3" t="inlineStr">
        <is>
          <t>Compliance Lead</t>
        </is>
      </c>
      <c r="H43" s="4" t="inlineStr">
        <is>
          <t>Critical</t>
        </is>
      </c>
      <c r="I43" s="3" t="n">
        <v>5</v>
      </c>
      <c r="J43" s="5" t="n">
        <v>46100</v>
      </c>
      <c r="K43" s="5" t="n">
        <v>46105</v>
      </c>
      <c r="L43" s="3">
        <f>K43-J43+1</f>
        <v/>
      </c>
      <c r="M43" s="3" t="inlineStr">
        <is>
          <t>T035</t>
        </is>
      </c>
      <c r="N43" s="8" t="inlineStr">
        <is>
          <t>Done</t>
        </is>
      </c>
      <c r="O43" s="8" t="inlineStr">
        <is>
          <t>Done</t>
        </is>
      </c>
      <c r="P43" s="8" t="inlineStr">
        <is>
          <t>Low</t>
        </is>
      </c>
      <c r="Q43" s="3" t="inlineStr">
        <is>
          <t>registry-api emits append-only audit</t>
        </is>
      </c>
    </row>
    <row r="44">
      <c r="A44" s="3" t="inlineStr">
        <is>
          <t>T041</t>
        </is>
      </c>
      <c r="B44" s="3" t="inlineStr">
        <is>
          <t>P4</t>
        </is>
      </c>
      <c r="C44" s="3" t="inlineStr">
        <is>
          <t>Platform Foundation Build</t>
        </is>
      </c>
      <c r="D44" s="3" t="inlineStr">
        <is>
          <t>Validate platform readiness vs security controls [Vishnu's Repo]</t>
        </is>
      </c>
      <c r="E44" s="3" t="inlineStr">
        <is>
          <t>BOTH</t>
        </is>
      </c>
      <c r="F44" s="3" t="inlineStr">
        <is>
          <t>BOTH</t>
        </is>
      </c>
      <c r="G44" s="3" t="inlineStr">
        <is>
          <t>ABSA Risk Owner</t>
        </is>
      </c>
      <c r="H44" s="4" t="inlineStr">
        <is>
          <t>Critical</t>
        </is>
      </c>
      <c r="I44" s="3" t="n">
        <v>5</v>
      </c>
      <c r="J44" s="5" t="n">
        <v>46106</v>
      </c>
      <c r="K44" s="5" t="n">
        <v>46111</v>
      </c>
      <c r="L44" s="3">
        <f>K44-J44+1</f>
        <v/>
      </c>
      <c r="M44" s="3" t="inlineStr">
        <is>
          <t>T040</t>
        </is>
      </c>
      <c r="N44" s="8" t="inlineStr">
        <is>
          <t>Done</t>
        </is>
      </c>
      <c r="O44" s="8" t="inlineStr">
        <is>
          <t>Done</t>
        </is>
      </c>
      <c r="P44" s="8" t="inlineStr">
        <is>
          <t>Low</t>
        </is>
      </c>
      <c r="Q44" s="3" t="inlineStr">
        <is>
          <t>docs/compliance/control-matrix.md</t>
        </is>
      </c>
    </row>
    <row r="45">
      <c r="A45" s="3" t="inlineStr">
        <is>
          <t>T042</t>
        </is>
      </c>
      <c r="B45" s="3" t="inlineStr">
        <is>
          <t>P5</t>
        </is>
      </c>
      <c r="C45" s="3" t="inlineStr">
        <is>
          <t>Controls, Security &amp; Change Mgmt</t>
        </is>
      </c>
      <c r="D45" s="3" t="inlineStr">
        <is>
          <t>Define change-request workflow + approval matrix</t>
        </is>
      </c>
      <c r="E45" s="3" t="inlineStr">
        <is>
          <t>BOTH</t>
        </is>
      </c>
      <c r="F45" s="3" t="inlineStr">
        <is>
          <t>BOTH</t>
        </is>
      </c>
      <c r="G45" s="3" t="inlineStr">
        <is>
          <t>ABSA Risk Owner</t>
        </is>
      </c>
      <c r="H45" s="9" t="inlineStr">
        <is>
          <t>High</t>
        </is>
      </c>
      <c r="I45" s="3" t="n">
        <v>5</v>
      </c>
      <c r="J45" s="5" t="n">
        <v>46054</v>
      </c>
      <c r="K45" s="5" t="n">
        <v>46075</v>
      </c>
      <c r="L45" s="3">
        <f>K45-J45+1</f>
        <v/>
      </c>
      <c r="M45" s="3" t="inlineStr">
        <is>
          <t>T001</t>
        </is>
      </c>
      <c r="N45" s="12" t="inlineStr">
        <is>
          <t>In Progress</t>
        </is>
      </c>
      <c r="O45" s="10" t="inlineStr">
        <is>
          <t>Partial</t>
        </is>
      </c>
      <c r="P45" s="10" t="inlineStr">
        <is>
          <t>Medium</t>
        </is>
      </c>
      <c r="Q45" s="3" t="inlineStr">
        <is>
          <t>registry-api approval state machine</t>
        </is>
      </c>
    </row>
    <row r="46">
      <c r="A46" s="3" t="inlineStr">
        <is>
          <t>T043</t>
        </is>
      </c>
      <c r="B46" s="3" t="inlineStr">
        <is>
          <t>P5</t>
        </is>
      </c>
      <c r="C46" s="3" t="inlineStr">
        <is>
          <t>Controls, Security &amp; Change Mgmt</t>
        </is>
      </c>
      <c r="D46" s="3" t="inlineStr">
        <is>
          <t>Set up review process for medium/high-risk changes [Vishnu's Repo]</t>
        </is>
      </c>
      <c r="E46" s="3" t="inlineStr">
        <is>
          <t>BOTH</t>
        </is>
      </c>
      <c r="F46" s="3" t="inlineStr">
        <is>
          <t>BOTH</t>
        </is>
      </c>
      <c r="G46" s="3" t="inlineStr">
        <is>
          <t>ABSA Risk Owner</t>
        </is>
      </c>
      <c r="H46" s="9" t="inlineStr">
        <is>
          <t>High</t>
        </is>
      </c>
      <c r="I46" s="3" t="n">
        <v>5</v>
      </c>
      <c r="J46" s="5" t="n">
        <v>46075</v>
      </c>
      <c r="K46" s="5" t="n">
        <v>46096</v>
      </c>
      <c r="L46" s="3">
        <f>K46-J46+1</f>
        <v/>
      </c>
      <c r="M46" s="3" t="inlineStr">
        <is>
          <t>T042</t>
        </is>
      </c>
      <c r="N46" s="12" t="inlineStr">
        <is>
          <t>In Progress</t>
        </is>
      </c>
      <c r="O46" s="10" t="inlineStr">
        <is>
          <t>Partial</t>
        </is>
      </c>
      <c r="P46" s="10" t="inlineStr">
        <is>
          <t>Medium</t>
        </is>
      </c>
      <c r="Q46" s="3" t="inlineStr">
        <is>
          <t>approve/retire routes + audit log</t>
        </is>
      </c>
    </row>
    <row r="47">
      <c r="A47" s="3" t="inlineStr">
        <is>
          <t>T044</t>
        </is>
      </c>
      <c r="B47" s="3" t="inlineStr">
        <is>
          <t>P5</t>
        </is>
      </c>
      <c r="C47" s="3" t="inlineStr">
        <is>
          <t>Controls, Security &amp; Change Mgmt</t>
        </is>
      </c>
      <c r="D47" s="3" t="inlineStr">
        <is>
          <t>Define peer review + promotion gates for production</t>
        </is>
      </c>
      <c r="E47" s="3" t="inlineStr">
        <is>
          <t>BOTH</t>
        </is>
      </c>
      <c r="F47" s="3" t="inlineStr">
        <is>
          <t>BOTH</t>
        </is>
      </c>
      <c r="G47" s="3" t="inlineStr">
        <is>
          <t>Compliance Lead</t>
        </is>
      </c>
      <c r="H47" s="9" t="inlineStr">
        <is>
          <t>High</t>
        </is>
      </c>
      <c r="I47" s="3" t="n">
        <v>3</v>
      </c>
      <c r="J47" s="5" t="n">
        <v>46096</v>
      </c>
      <c r="K47" s="5" t="n">
        <v>46117</v>
      </c>
      <c r="L47" s="3">
        <f>K47-J47+1</f>
        <v/>
      </c>
      <c r="M47" s="3" t="inlineStr">
        <is>
          <t>T042</t>
        </is>
      </c>
      <c r="N47" s="8" t="inlineStr">
        <is>
          <t>Done</t>
        </is>
      </c>
      <c r="O47" s="8" t="inlineStr">
        <is>
          <t>Done</t>
        </is>
      </c>
      <c r="P47" s="8" t="inlineStr">
        <is>
          <t>Low</t>
        </is>
      </c>
      <c r="Q47" s="3" t="inlineStr">
        <is>
          <t>GH branch protection + drift gates + localstack-demo</t>
        </is>
      </c>
    </row>
    <row r="48">
      <c r="A48" s="3" t="inlineStr">
        <is>
          <t>T045</t>
        </is>
      </c>
      <c r="B48" s="3" t="inlineStr">
        <is>
          <t>P5</t>
        </is>
      </c>
      <c r="C48" s="3" t="inlineStr">
        <is>
          <t>Controls, Security &amp; Change Mgmt</t>
        </is>
      </c>
      <c r="D48" s="3" t="inlineStr">
        <is>
          <t>Document rollback requirements for planned changes</t>
        </is>
      </c>
      <c r="E48" s="3" t="inlineStr">
        <is>
          <t>EXL</t>
        </is>
      </c>
      <c r="F48" s="3" t="inlineStr">
        <is>
          <t>EXL</t>
        </is>
      </c>
      <c r="G48" s="3" t="inlineStr">
        <is>
          <t>Compliance Lead</t>
        </is>
      </c>
      <c r="H48" s="3" t="inlineStr">
        <is>
          <t>Medium</t>
        </is>
      </c>
      <c r="I48" s="3" t="n">
        <v>3</v>
      </c>
      <c r="J48" s="5" t="n">
        <v>46117</v>
      </c>
      <c r="K48" s="5" t="n">
        <v>46138</v>
      </c>
      <c r="L48" s="3">
        <f>K48-J48+1</f>
        <v/>
      </c>
      <c r="M48" s="3" t="inlineStr">
        <is>
          <t>T044</t>
        </is>
      </c>
      <c r="N48" s="12" t="inlineStr">
        <is>
          <t>In Progress</t>
        </is>
      </c>
      <c r="O48" s="10" t="inlineStr">
        <is>
          <t>Partial</t>
        </is>
      </c>
      <c r="P48" s="10" t="inlineStr">
        <is>
          <t>Medium</t>
        </is>
      </c>
      <c r="Q48" s="3" t="inlineStr">
        <is>
          <t>Runbook structure exists; per-model TBD</t>
        </is>
      </c>
    </row>
    <row r="49">
      <c r="A49" s="3" t="inlineStr">
        <is>
          <t>T046</t>
        </is>
      </c>
      <c r="B49" s="3" t="inlineStr">
        <is>
          <t>P5</t>
        </is>
      </c>
      <c r="C49" s="3" t="inlineStr">
        <is>
          <t>Controls, Security &amp; Change Mgmt</t>
        </is>
      </c>
      <c r="D49" s="3" t="inlineStr">
        <is>
          <t>Set up release logging in agreed tracking tool</t>
        </is>
      </c>
      <c r="E49" s="3" t="inlineStr">
        <is>
          <t>EXL</t>
        </is>
      </c>
      <c r="F49" s="3" t="inlineStr">
        <is>
          <t>EXL</t>
        </is>
      </c>
      <c r="G49" s="3" t="inlineStr">
        <is>
          <t>Compliance Lead</t>
        </is>
      </c>
      <c r="H49" s="3" t="inlineStr">
        <is>
          <t>Medium</t>
        </is>
      </c>
      <c r="I49" s="3" t="n">
        <v>3</v>
      </c>
      <c r="J49" s="5" t="n">
        <v>46139</v>
      </c>
      <c r="K49" s="5" t="n">
        <v>46160</v>
      </c>
      <c r="L49" s="3">
        <f>K49-J49+1</f>
        <v/>
      </c>
      <c r="M49" s="3" t="inlineStr">
        <is>
          <t>T040</t>
        </is>
      </c>
      <c r="N49" s="8" t="inlineStr">
        <is>
          <t>Done</t>
        </is>
      </c>
      <c r="O49" s="8" t="inlineStr">
        <is>
          <t>Done</t>
        </is>
      </c>
      <c r="P49" s="8" t="inlineStr">
        <is>
          <t>Low</t>
        </is>
      </c>
      <c r="Q49" s="3" t="inlineStr">
        <is>
          <t>Audit log via registry-api</t>
        </is>
      </c>
    </row>
    <row r="50">
      <c r="A50" s="3" t="inlineStr">
        <is>
          <t>T047</t>
        </is>
      </c>
      <c r="B50" s="3" t="inlineStr">
        <is>
          <t>P5</t>
        </is>
      </c>
      <c r="C50" s="3" t="inlineStr">
        <is>
          <t>Controls, Security &amp; Change Mgmt</t>
        </is>
      </c>
      <c r="D50" s="3" t="inlineStr">
        <is>
          <t>Confirm data retention and archival rules</t>
        </is>
      </c>
      <c r="E50" s="3" t="inlineStr">
        <is>
          <t>BOTH</t>
        </is>
      </c>
      <c r="F50" s="3" t="inlineStr">
        <is>
          <t>BOTH</t>
        </is>
      </c>
      <c r="G50" s="3" t="inlineStr">
        <is>
          <t>ABSA Risk Owner</t>
        </is>
      </c>
      <c r="H50" s="9" t="inlineStr">
        <is>
          <t>High</t>
        </is>
      </c>
      <c r="I50" s="3" t="n">
        <v>3</v>
      </c>
      <c r="J50" s="5" t="n">
        <v>46160</v>
      </c>
      <c r="K50" s="5" t="n">
        <v>46181</v>
      </c>
      <c r="L50" s="3">
        <f>K50-J50+1</f>
        <v/>
      </c>
      <c r="M50" s="3" t="inlineStr">
        <is>
          <t>T042</t>
        </is>
      </c>
      <c r="N50" s="6" t="inlineStr">
        <is>
          <t>Not Started</t>
        </is>
      </c>
      <c r="O50" s="7" t="inlineStr">
        <is>
          <t>Planned</t>
        </is>
      </c>
      <c r="P50" s="10" t="inlineStr">
        <is>
          <t>Medium</t>
        </is>
      </c>
      <c r="Q50" s="3" t="inlineStr">
        <is>
          <t>S3 lifecycle policies</t>
        </is>
      </c>
    </row>
    <row r="51">
      <c r="A51" s="3" t="inlineStr">
        <is>
          <t>T048</t>
        </is>
      </c>
      <c r="B51" s="3" t="inlineStr">
        <is>
          <t>P5</t>
        </is>
      </c>
      <c r="C51" s="3" t="inlineStr">
        <is>
          <t>Controls, Security &amp; Change Mgmt</t>
        </is>
      </c>
      <c r="D51" s="3" t="inlineStr">
        <is>
          <t>Confirm secure access controls for dashboard endpoints</t>
        </is>
      </c>
      <c r="E51" s="3" t="inlineStr">
        <is>
          <t>BOTH</t>
        </is>
      </c>
      <c r="F51" s="3" t="inlineStr">
        <is>
          <t>BOTH</t>
        </is>
      </c>
      <c r="G51" s="3" t="inlineStr">
        <is>
          <t>Compliance Lead</t>
        </is>
      </c>
      <c r="H51" s="9" t="inlineStr">
        <is>
          <t>High</t>
        </is>
      </c>
      <c r="I51" s="3" t="n">
        <v>3</v>
      </c>
      <c r="J51" s="5" t="n">
        <v>46181</v>
      </c>
      <c r="K51" s="5" t="n">
        <v>46202</v>
      </c>
      <c r="L51" s="3">
        <f>K51-J51+1</f>
        <v/>
      </c>
      <c r="M51" s="3" t="inlineStr">
        <is>
          <t>T042</t>
        </is>
      </c>
      <c r="N51" s="6" t="inlineStr">
        <is>
          <t>Not Started</t>
        </is>
      </c>
      <c r="O51" s="7" t="inlineStr">
        <is>
          <t>Planned</t>
        </is>
      </c>
      <c r="P51" s="10" t="inlineStr">
        <is>
          <t>Medium</t>
        </is>
      </c>
      <c r="Q51" s="3" t="inlineStr">
        <is>
          <t>After dashboard build (Phase 8)</t>
        </is>
      </c>
    </row>
    <row r="52">
      <c r="A52" s="3" t="inlineStr">
        <is>
          <t>T049</t>
        </is>
      </c>
      <c r="B52" s="3" t="inlineStr">
        <is>
          <t>P6</t>
        </is>
      </c>
      <c r="C52" s="3" t="inlineStr">
        <is>
          <t>Code Optimization &amp; Pipeline Setup</t>
        </is>
      </c>
      <c r="D52" s="3" t="inlineStr">
        <is>
          <t>Review developer code for production readiness</t>
        </is>
      </c>
      <c r="E52" s="3" t="inlineStr">
        <is>
          <t>EXL</t>
        </is>
      </c>
      <c r="F52" s="3" t="inlineStr">
        <is>
          <t>EXL</t>
        </is>
      </c>
      <c r="G52" s="3" t="inlineStr">
        <is>
          <t>Tech Lead</t>
        </is>
      </c>
      <c r="H52" s="4" t="inlineStr">
        <is>
          <t>Critical</t>
        </is>
      </c>
      <c r="I52" s="3" t="n">
        <v>8</v>
      </c>
      <c r="J52" s="5" t="n">
        <v>46082</v>
      </c>
      <c r="K52" s="5" t="n">
        <v>46089</v>
      </c>
      <c r="L52" s="3">
        <f>K52-J52+1</f>
        <v/>
      </c>
      <c r="M52" s="3" t="inlineStr">
        <is>
          <t>T029,T034</t>
        </is>
      </c>
      <c r="N52" s="12" t="inlineStr">
        <is>
          <t>In Progress</t>
        </is>
      </c>
      <c r="O52" s="10" t="inlineStr">
        <is>
          <t>Partial</t>
        </is>
      </c>
      <c r="P52" s="10" t="inlineStr">
        <is>
          <t>Medium</t>
        </is>
      </c>
      <c r="Q52" s="3" t="inlineStr">
        <is>
          <t>code-intake validate --strict</t>
        </is>
      </c>
    </row>
    <row r="53">
      <c r="A53" s="3" t="inlineStr">
        <is>
          <t>T050</t>
        </is>
      </c>
      <c r="B53" s="3" t="inlineStr">
        <is>
          <t>P6</t>
        </is>
      </c>
      <c r="C53" s="3" t="inlineStr">
        <is>
          <t>Code Optimization &amp; Pipeline Setup</t>
        </is>
      </c>
      <c r="D53" s="3" t="inlineStr">
        <is>
          <t>Standardize and optimize model scoring code</t>
        </is>
      </c>
      <c r="E53" s="3" t="inlineStr">
        <is>
          <t>EXL</t>
        </is>
      </c>
      <c r="F53" s="3" t="inlineStr">
        <is>
          <t>EXL</t>
        </is>
      </c>
      <c r="G53" s="3" t="inlineStr">
        <is>
          <t>Tech Lead</t>
        </is>
      </c>
      <c r="H53" s="4" t="inlineStr">
        <is>
          <t>Critical</t>
        </is>
      </c>
      <c r="I53" s="3" t="n">
        <v>15</v>
      </c>
      <c r="J53" s="5" t="n">
        <v>46089</v>
      </c>
      <c r="K53" s="5" t="n">
        <v>46096</v>
      </c>
      <c r="L53" s="3">
        <f>K53-J53+1</f>
        <v/>
      </c>
      <c r="M53" s="3" t="inlineStr">
        <is>
          <t>T025,T049</t>
        </is>
      </c>
      <c r="N53" s="6" t="inlineStr">
        <is>
          <t>Not Started</t>
        </is>
      </c>
      <c r="O53" s="7" t="inlineStr">
        <is>
          <t>Planned</t>
        </is>
      </c>
      <c r="P53" s="11" t="inlineStr">
        <is>
          <t>High</t>
        </is>
      </c>
      <c r="Q53" s="3" t="inlineStr">
        <is>
          <t>Per-package work; uses dev env access</t>
        </is>
      </c>
    </row>
    <row r="54">
      <c r="A54" s="3" t="inlineStr">
        <is>
          <t>T051</t>
        </is>
      </c>
      <c r="B54" s="3" t="inlineStr">
        <is>
          <t>P6</t>
        </is>
      </c>
      <c r="C54" s="3" t="inlineStr">
        <is>
          <t>Code Optimization &amp; Pipeline Setup</t>
        </is>
      </c>
      <c r="D54" s="3" t="inlineStr">
        <is>
          <t>Validate scoring logic against dev benchmarks</t>
        </is>
      </c>
      <c r="E54" s="3" t="inlineStr">
        <is>
          <t>BOTH</t>
        </is>
      </c>
      <c r="F54" s="3" t="inlineStr">
        <is>
          <t>BOTH</t>
        </is>
      </c>
      <c r="G54" s="3" t="inlineStr">
        <is>
          <t>ABSA Model Owner</t>
        </is>
      </c>
      <c r="H54" s="4" t="inlineStr">
        <is>
          <t>Critical</t>
        </is>
      </c>
      <c r="I54" s="3" t="n">
        <v>8</v>
      </c>
      <c r="J54" s="5" t="n">
        <v>46097</v>
      </c>
      <c r="K54" s="5" t="n">
        <v>46104</v>
      </c>
      <c r="L54" s="3">
        <f>K54-J54+1</f>
        <v/>
      </c>
      <c r="M54" s="3" t="inlineStr">
        <is>
          <t>T050</t>
        </is>
      </c>
      <c r="N54" s="6" t="inlineStr">
        <is>
          <t>Not Started</t>
        </is>
      </c>
      <c r="O54" s="11" t="inlineStr">
        <is>
          <t>Blocked</t>
        </is>
      </c>
      <c r="P54" s="11" t="inlineStr">
        <is>
          <t>High</t>
        </is>
      </c>
      <c r="Q54" s="3" t="inlineStr">
        <is>
          <t>Reconciliation framework</t>
        </is>
      </c>
    </row>
    <row r="55">
      <c r="A55" s="3" t="inlineStr">
        <is>
          <t>T052</t>
        </is>
      </c>
      <c r="B55" s="3" t="inlineStr">
        <is>
          <t>P6</t>
        </is>
      </c>
      <c r="C55" s="3" t="inlineStr">
        <is>
          <t>Code Optimization &amp; Pipeline Setup</t>
        </is>
      </c>
      <c r="D55" s="3" t="inlineStr">
        <is>
          <t>Package scoring code for controlled deployment</t>
        </is>
      </c>
      <c r="E55" s="3" t="inlineStr">
        <is>
          <t>EXL</t>
        </is>
      </c>
      <c r="F55" s="3" t="inlineStr">
        <is>
          <t>EXL</t>
        </is>
      </c>
      <c r="G55" s="3" t="inlineStr">
        <is>
          <t>Tech Lead</t>
        </is>
      </c>
      <c r="H55" s="4" t="inlineStr">
        <is>
          <t>Critical</t>
        </is>
      </c>
      <c r="I55" s="3" t="n">
        <v>5</v>
      </c>
      <c r="J55" s="5" t="n">
        <v>46104</v>
      </c>
      <c r="K55" s="5" t="n">
        <v>46111</v>
      </c>
      <c r="L55" s="3">
        <f>K55-J55+1</f>
        <v/>
      </c>
      <c r="M55" s="3" t="inlineStr">
        <is>
          <t>T051</t>
        </is>
      </c>
      <c r="N55" s="8" t="inlineStr">
        <is>
          <t>Done</t>
        </is>
      </c>
      <c r="O55" s="8" t="inlineStr">
        <is>
          <t>Done</t>
        </is>
      </c>
      <c r="P55" s="8" t="inlineStr">
        <is>
          <t>Low</t>
        </is>
      </c>
      <c r="Q55" s="3" t="inlineStr">
        <is>
          <t>Package contract spec (ADR-0010)</t>
        </is>
      </c>
    </row>
    <row r="56">
      <c r="A56" s="3" t="inlineStr">
        <is>
          <t>T053</t>
        </is>
      </c>
      <c r="B56" s="3" t="inlineStr">
        <is>
          <t>P6</t>
        </is>
      </c>
      <c r="C56" s="3" t="inlineStr">
        <is>
          <t>Code Optimization &amp; Pipeline Setup</t>
        </is>
      </c>
      <c r="D56" s="3" t="inlineStr">
        <is>
          <t>Create reusable scoring pipeline templates</t>
        </is>
      </c>
      <c r="E56" s="3" t="inlineStr">
        <is>
          <t>EXL</t>
        </is>
      </c>
      <c r="F56" s="3" t="inlineStr">
        <is>
          <t>EXL</t>
        </is>
      </c>
      <c r="G56" s="3" t="inlineStr">
        <is>
          <t>Tech Lead</t>
        </is>
      </c>
      <c r="H56" s="4" t="inlineStr">
        <is>
          <t>Critical</t>
        </is>
      </c>
      <c r="I56" s="3" t="n">
        <v>8</v>
      </c>
      <c r="J56" s="5" t="n">
        <v>46112</v>
      </c>
      <c r="K56" s="5" t="n">
        <v>46119</v>
      </c>
      <c r="L56" s="3">
        <f>K56-J56+1</f>
        <v/>
      </c>
      <c r="M56" s="3" t="inlineStr">
        <is>
          <t>T034,T052</t>
        </is>
      </c>
      <c r="N56" s="8" t="inlineStr">
        <is>
          <t>Done</t>
        </is>
      </c>
      <c r="O56" s="8" t="inlineStr">
        <is>
          <t>Done</t>
        </is>
      </c>
      <c r="P56" s="8" t="inlineStr">
        <is>
          <t>Low</t>
        </is>
      </c>
      <c r="Q56" s="3" t="inlineStr">
        <is>
          <t>pipeline-factory ASL templates</t>
        </is>
      </c>
    </row>
    <row r="57">
      <c r="A57" s="3" t="inlineStr">
        <is>
          <t>T054</t>
        </is>
      </c>
      <c r="B57" s="3" t="inlineStr">
        <is>
          <t>P6</t>
        </is>
      </c>
      <c r="C57" s="3" t="inlineStr">
        <is>
          <t>Code Optimization &amp; Pipeline Setup</t>
        </is>
      </c>
      <c r="D57" s="3" t="inlineStr">
        <is>
          <t>Register models + pipeline versions in registry</t>
        </is>
      </c>
      <c r="E57" s="3" t="inlineStr">
        <is>
          <t>EXL</t>
        </is>
      </c>
      <c r="F57" s="3" t="inlineStr">
        <is>
          <t>EXL</t>
        </is>
      </c>
      <c r="G57" s="3" t="inlineStr">
        <is>
          <t>Tech Lead</t>
        </is>
      </c>
      <c r="H57" s="9" t="inlineStr">
        <is>
          <t>High</t>
        </is>
      </c>
      <c r="I57" s="3" t="n">
        <v>3</v>
      </c>
      <c r="J57" s="5" t="n">
        <v>46119</v>
      </c>
      <c r="K57" s="5" t="n">
        <v>46126</v>
      </c>
      <c r="L57" s="3">
        <f>K57-J57+1</f>
        <v/>
      </c>
      <c r="M57" s="3" t="inlineStr">
        <is>
          <t>T035,T053</t>
        </is>
      </c>
      <c r="N57" s="8" t="inlineStr">
        <is>
          <t>Done</t>
        </is>
      </c>
      <c r="O57" s="8" t="inlineStr">
        <is>
          <t>Done</t>
        </is>
      </c>
      <c r="P57" s="8" t="inlineStr">
        <is>
          <t>Low</t>
        </is>
      </c>
      <c r="Q57" s="3" t="inlineStr">
        <is>
          <t>register-pipeline CLI (SigV4)</t>
        </is>
      </c>
    </row>
    <row r="58">
      <c r="A58" s="3" t="inlineStr">
        <is>
          <t>T055</t>
        </is>
      </c>
      <c r="B58" s="3" t="inlineStr">
        <is>
          <t>P6</t>
        </is>
      </c>
      <c r="C58" s="3" t="inlineStr">
        <is>
          <t>Code Optimization &amp; Pipeline Setup</t>
        </is>
      </c>
      <c r="D58" s="3" t="inlineStr">
        <is>
          <t>Set up model run schedules for approved cadence</t>
        </is>
      </c>
      <c r="E58" s="3" t="inlineStr">
        <is>
          <t>BOTH</t>
        </is>
      </c>
      <c r="F58" s="3" t="inlineStr">
        <is>
          <t>BOTH</t>
        </is>
      </c>
      <c r="G58" s="3" t="inlineStr">
        <is>
          <t>ABSA Risk Owner</t>
        </is>
      </c>
      <c r="H58" s="9" t="inlineStr">
        <is>
          <t>High</t>
        </is>
      </c>
      <c r="I58" s="3" t="n">
        <v>3</v>
      </c>
      <c r="J58" s="5" t="n">
        <v>46127</v>
      </c>
      <c r="K58" s="5" t="n">
        <v>46134</v>
      </c>
      <c r="L58" s="3">
        <f>K58-J58+1</f>
        <v/>
      </c>
      <c r="M58" s="3" t="inlineStr">
        <is>
          <t>T006,T054</t>
        </is>
      </c>
      <c r="N58" s="6" t="inlineStr">
        <is>
          <t>Not Started</t>
        </is>
      </c>
      <c r="O58" s="7" t="inlineStr">
        <is>
          <t>Planned</t>
        </is>
      </c>
      <c r="P58" s="10" t="inlineStr">
        <is>
          <t>Medium</t>
        </is>
      </c>
      <c r="Q58" s="3" t="inlineStr">
        <is>
          <t>EventBridge schedules</t>
        </is>
      </c>
    </row>
    <row r="59">
      <c r="A59" s="3" t="inlineStr">
        <is>
          <t>T056</t>
        </is>
      </c>
      <c r="B59" s="3" t="inlineStr">
        <is>
          <t>P6</t>
        </is>
      </c>
      <c r="C59" s="3" t="inlineStr">
        <is>
          <t>Code Optimization &amp; Pipeline Setup</t>
        </is>
      </c>
      <c r="D59" s="3" t="inlineStr">
        <is>
          <t>Complete code intake validation + metadata capture [Vishnu's Repo]</t>
        </is>
      </c>
      <c r="E59" s="3" t="inlineStr">
        <is>
          <t>EXL</t>
        </is>
      </c>
      <c r="F59" s="3" t="inlineStr">
        <is>
          <t>EXL</t>
        </is>
      </c>
      <c r="G59" s="3" t="inlineStr">
        <is>
          <t>Tech Lead</t>
        </is>
      </c>
      <c r="H59" s="4" t="inlineStr">
        <is>
          <t>Critical</t>
        </is>
      </c>
      <c r="I59" s="3" t="n">
        <v>3</v>
      </c>
      <c r="J59" s="5" t="n">
        <v>46134</v>
      </c>
      <c r="K59" s="5" t="n">
        <v>46141</v>
      </c>
      <c r="L59" s="3">
        <f>K59-J59+1</f>
        <v/>
      </c>
      <c r="M59" s="3" t="inlineStr">
        <is>
          <t>T049</t>
        </is>
      </c>
      <c r="N59" s="8" t="inlineStr">
        <is>
          <t>Done</t>
        </is>
      </c>
      <c r="O59" s="8" t="inlineStr">
        <is>
          <t>Done</t>
        </is>
      </c>
      <c r="P59" s="8" t="inlineStr">
        <is>
          <t>Low</t>
        </is>
      </c>
      <c r="Q59" s="3" t="inlineStr">
        <is>
          <t>code-intake generate-manifest</t>
        </is>
      </c>
    </row>
    <row r="60">
      <c r="A60" s="3" t="inlineStr">
        <is>
          <t>T057</t>
        </is>
      </c>
      <c r="B60" s="3" t="inlineStr">
        <is>
          <t>P7</t>
        </is>
      </c>
      <c r="C60" s="3" t="inlineStr">
        <is>
          <t>Group 1: First 2 Models</t>
        </is>
      </c>
      <c r="D60" s="3" t="inlineStr">
        <is>
          <t>Prepare Group 1 onboarding plan</t>
        </is>
      </c>
      <c r="E60" s="3" t="inlineStr">
        <is>
          <t>EXL</t>
        </is>
      </c>
      <c r="F60" s="3" t="inlineStr">
        <is>
          <t>EXL</t>
        </is>
      </c>
      <c r="G60" s="3" t="inlineStr">
        <is>
          <t>Tech Lead</t>
        </is>
      </c>
      <c r="H60" s="4" t="inlineStr">
        <is>
          <t>Critical</t>
        </is>
      </c>
      <c r="I60" s="3" t="n">
        <v>5</v>
      </c>
      <c r="J60" s="5" t="n">
        <v>46113</v>
      </c>
      <c r="K60" s="5" t="n">
        <v>46117</v>
      </c>
      <c r="L60" s="3">
        <f>K60-J60+1</f>
        <v/>
      </c>
      <c r="M60" s="3" t="inlineStr">
        <is>
          <t>T056</t>
        </is>
      </c>
      <c r="N60" s="6" t="inlineStr">
        <is>
          <t>Not Started</t>
        </is>
      </c>
      <c r="O60" s="7" t="inlineStr">
        <is>
          <t>Planned</t>
        </is>
      </c>
      <c r="P60" s="10" t="inlineStr">
        <is>
          <t>Medium</t>
        </is>
      </c>
      <c r="Q60" s="3" t="inlineStr">
        <is>
          <t>Per-model checklist</t>
        </is>
      </c>
    </row>
    <row r="61">
      <c r="A61" s="3" t="inlineStr">
        <is>
          <t>T058</t>
        </is>
      </c>
      <c r="B61" s="3" t="inlineStr">
        <is>
          <t>P7</t>
        </is>
      </c>
      <c r="C61" s="3" t="inlineStr">
        <is>
          <t>Group 1: First 2 Models</t>
        </is>
      </c>
      <c r="D61" s="3" t="inlineStr">
        <is>
          <t>Run initial scoring for Group 1 models</t>
        </is>
      </c>
      <c r="E61" s="3" t="inlineStr">
        <is>
          <t>EXL</t>
        </is>
      </c>
      <c r="F61" s="3" t="inlineStr">
        <is>
          <t>EXL</t>
        </is>
      </c>
      <c r="G61" s="3" t="inlineStr">
        <is>
          <t>Tech Lead</t>
        </is>
      </c>
      <c r="H61" s="4" t="inlineStr">
        <is>
          <t>Critical</t>
        </is>
      </c>
      <c r="I61" s="3" t="n">
        <v>5</v>
      </c>
      <c r="J61" s="5" t="n">
        <v>46117</v>
      </c>
      <c r="K61" s="5" t="n">
        <v>46121</v>
      </c>
      <c r="L61" s="3">
        <f>K61-J61+1</f>
        <v/>
      </c>
      <c r="M61" s="3" t="inlineStr">
        <is>
          <t>T057</t>
        </is>
      </c>
      <c r="N61" s="6" t="inlineStr">
        <is>
          <t>Not Started</t>
        </is>
      </c>
      <c r="O61" s="11" t="inlineStr">
        <is>
          <t>Blocked</t>
        </is>
      </c>
      <c r="P61" s="11" t="inlineStr">
        <is>
          <t>High</t>
        </is>
      </c>
      <c r="Q61" s="3" t="inlineStr">
        <is>
          <t>Needs real ABSA accounts + data</t>
        </is>
      </c>
    </row>
    <row r="62">
      <c r="A62" s="3" t="inlineStr">
        <is>
          <t>T059</t>
        </is>
      </c>
      <c r="B62" s="3" t="inlineStr">
        <is>
          <t>P7</t>
        </is>
      </c>
      <c r="C62" s="3" t="inlineStr">
        <is>
          <t>Group 1: First 2 Models</t>
        </is>
      </c>
      <c r="D62" s="3" t="inlineStr">
        <is>
          <t>Reconcile Group 1 outputs with benchmarks</t>
        </is>
      </c>
      <c r="E62" s="3" t="inlineStr">
        <is>
          <t>BOTH</t>
        </is>
      </c>
      <c r="F62" s="3" t="inlineStr">
        <is>
          <t>BOTH</t>
        </is>
      </c>
      <c r="G62" s="3" t="inlineStr">
        <is>
          <t>ABSA Model Owner</t>
        </is>
      </c>
      <c r="H62" s="4" t="inlineStr">
        <is>
          <t>Critical</t>
        </is>
      </c>
      <c r="I62" s="3" t="n">
        <v>5</v>
      </c>
      <c r="J62" s="5" t="n">
        <v>46122</v>
      </c>
      <c r="K62" s="5" t="n">
        <v>46126</v>
      </c>
      <c r="L62" s="3">
        <f>K62-J62+1</f>
        <v/>
      </c>
      <c r="M62" s="3" t="inlineStr">
        <is>
          <t>T058</t>
        </is>
      </c>
      <c r="N62" s="6" t="inlineStr">
        <is>
          <t>Not Started</t>
        </is>
      </c>
      <c r="O62" s="11" t="inlineStr">
        <is>
          <t>Blocked</t>
        </is>
      </c>
      <c r="P62" s="11" t="inlineStr">
        <is>
          <t>High</t>
        </is>
      </c>
      <c r="Q62" s="3" t="inlineStr">
        <is>
          <t>Byte/value comparison vs ABSA golden</t>
        </is>
      </c>
    </row>
    <row r="63">
      <c r="A63" s="3" t="inlineStr">
        <is>
          <t>T060</t>
        </is>
      </c>
      <c r="B63" s="3" t="inlineStr">
        <is>
          <t>P7</t>
        </is>
      </c>
      <c r="C63" s="3" t="inlineStr">
        <is>
          <t>Group 1: First 2 Models</t>
        </is>
      </c>
      <c r="D63" s="3" t="inlineStr">
        <is>
          <t>Resolve defects identified during initial output testing</t>
        </is>
      </c>
      <c r="E63" s="3" t="inlineStr">
        <is>
          <t>BOTH</t>
        </is>
      </c>
      <c r="F63" s="3" t="inlineStr">
        <is>
          <t>BOTH</t>
        </is>
      </c>
      <c r="G63" s="3" t="inlineStr">
        <is>
          <t>ABSA Model Owner</t>
        </is>
      </c>
      <c r="H63" s="4" t="inlineStr">
        <is>
          <t>Critical</t>
        </is>
      </c>
      <c r="I63" s="3" t="n">
        <v>8</v>
      </c>
      <c r="J63" s="5" t="n">
        <v>46127</v>
      </c>
      <c r="K63" s="5" t="n">
        <v>46131</v>
      </c>
      <c r="L63" s="3">
        <f>K63-J63+1</f>
        <v/>
      </c>
      <c r="M63" s="3" t="inlineStr">
        <is>
          <t>T059</t>
        </is>
      </c>
      <c r="N63" s="6" t="inlineStr">
        <is>
          <t>Not Started</t>
        </is>
      </c>
      <c r="O63" s="7" t="inlineStr">
        <is>
          <t>Planned</t>
        </is>
      </c>
      <c r="P63" s="11" t="inlineStr">
        <is>
          <t>High</t>
        </is>
      </c>
      <c r="Q63" s="3" t="inlineStr">
        <is>
          <t>Defect log + retest cadence</t>
        </is>
      </c>
    </row>
    <row r="64">
      <c r="A64" s="3" t="inlineStr">
        <is>
          <t>T061</t>
        </is>
      </c>
      <c r="B64" s="3" t="inlineStr">
        <is>
          <t>P7</t>
        </is>
      </c>
      <c r="C64" s="3" t="inlineStr">
        <is>
          <t>Group 1: First 2 Models</t>
        </is>
      </c>
      <c r="D64" s="3" t="inlineStr">
        <is>
          <t>Complete PIR for Group 1 models</t>
        </is>
      </c>
      <c r="E64" s="3" t="inlineStr">
        <is>
          <t>BOTH</t>
        </is>
      </c>
      <c r="F64" s="3" t="inlineStr">
        <is>
          <t>BOTH</t>
        </is>
      </c>
      <c r="G64" s="3" t="inlineStr">
        <is>
          <t>ABSA Risk Owner</t>
        </is>
      </c>
      <c r="H64" s="4" t="inlineStr">
        <is>
          <t>Critical</t>
        </is>
      </c>
      <c r="I64" s="3" t="n">
        <v>5</v>
      </c>
      <c r="J64" s="5" t="n">
        <v>46132</v>
      </c>
      <c r="K64" s="5" t="n">
        <v>46136</v>
      </c>
      <c r="L64" s="3">
        <f>K64-J64+1</f>
        <v/>
      </c>
      <c r="M64" s="3" t="inlineStr">
        <is>
          <t>T060</t>
        </is>
      </c>
      <c r="N64" s="6" t="inlineStr">
        <is>
          <t>Not Started</t>
        </is>
      </c>
      <c r="O64" s="7" t="inlineStr">
        <is>
          <t>Planned</t>
        </is>
      </c>
      <c r="P64" s="11" t="inlineStr">
        <is>
          <t>High</t>
        </is>
      </c>
      <c r="Q64" s="3" t="inlineStr">
        <is>
          <t>Post-Implementation Review</t>
        </is>
      </c>
    </row>
    <row r="65">
      <c r="A65" s="13" t="inlineStr">
        <is>
          <t>T062</t>
        </is>
      </c>
      <c r="B65" s="13" t="inlineStr">
        <is>
          <t>P7</t>
        </is>
      </c>
      <c r="C65" s="13" t="inlineStr">
        <is>
          <t>Group 1: First 2 Models</t>
        </is>
      </c>
      <c r="D65" s="13" t="inlineStr">
        <is>
          <t>MILESTONE: Obtain sign-off for Group 1</t>
        </is>
      </c>
      <c r="E65" s="13" t="inlineStr">
        <is>
          <t>ABSA</t>
        </is>
      </c>
      <c r="F65" s="13" t="inlineStr">
        <is>
          <t>ABSA</t>
        </is>
      </c>
      <c r="G65" s="13" t="inlineStr">
        <is>
          <t>ABSA Risk Owner</t>
        </is>
      </c>
      <c r="H65" s="13" t="inlineStr">
        <is>
          <t>Critical</t>
        </is>
      </c>
      <c r="I65" s="13" t="n">
        <v>2</v>
      </c>
      <c r="J65" s="14" t="n">
        <v>46137</v>
      </c>
      <c r="K65" s="14" t="n">
        <v>46141</v>
      </c>
      <c r="L65" s="13">
        <f>K65-J65+1</f>
        <v/>
      </c>
      <c r="M65" s="13" t="inlineStr">
        <is>
          <t>T061</t>
        </is>
      </c>
      <c r="N65" s="15" t="inlineStr">
        <is>
          <t>Not Started</t>
        </is>
      </c>
      <c r="O65" s="16" t="inlineStr">
        <is>
          <t>Blocked</t>
        </is>
      </c>
      <c r="P65" s="16" t="inlineStr">
        <is>
          <t>High</t>
        </is>
      </c>
      <c r="Q65" s="13" t="inlineStr">
        <is>
          <t>*** GATE TO GROUP 2 ***</t>
        </is>
      </c>
    </row>
    <row r="66">
      <c r="A66" s="3" t="inlineStr">
        <is>
          <t>T063</t>
        </is>
      </c>
      <c r="B66" s="3" t="inlineStr">
        <is>
          <t>P8a</t>
        </is>
      </c>
      <c r="C66" s="3" t="inlineStr">
        <is>
          <t>Group 2: Remaining 8 Models</t>
        </is>
      </c>
      <c r="D66" s="3" t="inlineStr">
        <is>
          <t>Prepare onboarding plan for Group 2</t>
        </is>
      </c>
      <c r="E66" s="3" t="inlineStr">
        <is>
          <t>EXL</t>
        </is>
      </c>
      <c r="F66" s="3" t="inlineStr">
        <is>
          <t>EXL</t>
        </is>
      </c>
      <c r="G66" s="3" t="inlineStr">
        <is>
          <t>Tech Lead</t>
        </is>
      </c>
      <c r="H66" s="4" t="inlineStr">
        <is>
          <t>Critical</t>
        </is>
      </c>
      <c r="I66" s="3" t="n">
        <v>5</v>
      </c>
      <c r="J66" s="5" t="n">
        <v>46143</v>
      </c>
      <c r="K66" s="5" t="n">
        <v>46153</v>
      </c>
      <c r="L66" s="3">
        <f>K66-J66+1</f>
        <v/>
      </c>
      <c r="M66" s="3" t="inlineStr">
        <is>
          <t>T062</t>
        </is>
      </c>
      <c r="N66" s="6" t="inlineStr">
        <is>
          <t>Not Started</t>
        </is>
      </c>
      <c r="O66" s="7" t="inlineStr">
        <is>
          <t>Planned</t>
        </is>
      </c>
      <c r="P66" s="10" t="inlineStr">
        <is>
          <t>Medium</t>
        </is>
      </c>
      <c r="Q66" s="3" t="inlineStr">
        <is>
          <t>Reuses Group 1 lessons + templates</t>
        </is>
      </c>
    </row>
    <row r="67">
      <c r="A67" s="3" t="inlineStr">
        <is>
          <t>T064</t>
        </is>
      </c>
      <c r="B67" s="3" t="inlineStr">
        <is>
          <t>P8a</t>
        </is>
      </c>
      <c r="C67" s="3" t="inlineStr">
        <is>
          <t>Group 2: Remaining 8 Models</t>
        </is>
      </c>
      <c r="D67" s="3" t="inlineStr">
        <is>
          <t>Run onboarding and scoring for Group 2</t>
        </is>
      </c>
      <c r="E67" s="3" t="inlineStr">
        <is>
          <t>EXL</t>
        </is>
      </c>
      <c r="F67" s="3" t="inlineStr">
        <is>
          <t>EXL</t>
        </is>
      </c>
      <c r="G67" s="3" t="inlineStr">
        <is>
          <t>Tech Lead</t>
        </is>
      </c>
      <c r="H67" s="4" t="inlineStr">
        <is>
          <t>Critical</t>
        </is>
      </c>
      <c r="I67" s="3" t="n">
        <v>20</v>
      </c>
      <c r="J67" s="5" t="n">
        <v>46153</v>
      </c>
      <c r="K67" s="5" t="n">
        <v>46163</v>
      </c>
      <c r="L67" s="3">
        <f>K67-J67+1</f>
        <v/>
      </c>
      <c r="M67" s="3" t="inlineStr">
        <is>
          <t>T063</t>
        </is>
      </c>
      <c r="N67" s="6" t="inlineStr">
        <is>
          <t>Not Started</t>
        </is>
      </c>
      <c r="O67" s="7" t="inlineStr">
        <is>
          <t>Planned</t>
        </is>
      </c>
      <c r="P67" s="10" t="inlineStr">
        <is>
          <t>Medium</t>
        </is>
      </c>
      <c r="Q67" s="3" t="inlineStr">
        <is>
          <t>Each uses pipeline template</t>
        </is>
      </c>
    </row>
    <row r="68">
      <c r="A68" s="3" t="inlineStr">
        <is>
          <t>T065</t>
        </is>
      </c>
      <c r="B68" s="3" t="inlineStr">
        <is>
          <t>P8a</t>
        </is>
      </c>
      <c r="C68" s="3" t="inlineStr">
        <is>
          <t>Group 2: Remaining 8 Models</t>
        </is>
      </c>
      <c r="D68" s="3" t="inlineStr">
        <is>
          <t>Reconcile Group 2 outputs with benchmarks</t>
        </is>
      </c>
      <c r="E68" s="3" t="inlineStr">
        <is>
          <t>BOTH</t>
        </is>
      </c>
      <c r="F68" s="3" t="inlineStr">
        <is>
          <t>BOTH</t>
        </is>
      </c>
      <c r="G68" s="3" t="inlineStr">
        <is>
          <t>ABSA Model Owner</t>
        </is>
      </c>
      <c r="H68" s="4" t="inlineStr">
        <is>
          <t>Critical</t>
        </is>
      </c>
      <c r="I68" s="3" t="n">
        <v>10</v>
      </c>
      <c r="J68" s="5" t="n">
        <v>46163</v>
      </c>
      <c r="K68" s="5" t="n">
        <v>46173</v>
      </c>
      <c r="L68" s="3">
        <f>K68-J68+1</f>
        <v/>
      </c>
      <c r="M68" s="3" t="inlineStr">
        <is>
          <t>T064</t>
        </is>
      </c>
      <c r="N68" s="6" t="inlineStr">
        <is>
          <t>Not Started</t>
        </is>
      </c>
      <c r="O68" s="7" t="inlineStr">
        <is>
          <t>Planned</t>
        </is>
      </c>
      <c r="P68" s="10" t="inlineStr">
        <is>
          <t>Medium</t>
        </is>
      </c>
      <c r="Q68" s="3" t="inlineStr">
        <is>
          <t>Same framework as Group 1</t>
        </is>
      </c>
    </row>
    <row r="69">
      <c r="A69" s="3" t="inlineStr">
        <is>
          <t>T066</t>
        </is>
      </c>
      <c r="B69" s="3" t="inlineStr">
        <is>
          <t>P8a</t>
        </is>
      </c>
      <c r="C69" s="3" t="inlineStr">
        <is>
          <t>Group 2: Remaining 8 Models</t>
        </is>
      </c>
      <c r="D69" s="3" t="inlineStr">
        <is>
          <t>Resolve defects during Group 2 testing</t>
        </is>
      </c>
      <c r="E69" s="3" t="inlineStr">
        <is>
          <t>BOTH</t>
        </is>
      </c>
      <c r="F69" s="3" t="inlineStr">
        <is>
          <t>BOTH</t>
        </is>
      </c>
      <c r="G69" s="3" t="inlineStr">
        <is>
          <t>ABSA Model Owner</t>
        </is>
      </c>
      <c r="H69" s="4" t="inlineStr">
        <is>
          <t>Critical</t>
        </is>
      </c>
      <c r="I69" s="3" t="n">
        <v>10</v>
      </c>
      <c r="J69" s="5" t="n">
        <v>46173</v>
      </c>
      <c r="K69" s="5" t="n">
        <v>46183</v>
      </c>
      <c r="L69" s="3">
        <f>K69-J69+1</f>
        <v/>
      </c>
      <c r="M69" s="3" t="inlineStr">
        <is>
          <t>T065</t>
        </is>
      </c>
      <c r="N69" s="6" t="inlineStr">
        <is>
          <t>Not Started</t>
        </is>
      </c>
      <c r="O69" s="7" t="inlineStr">
        <is>
          <t>Planned</t>
        </is>
      </c>
      <c r="P69" s="10" t="inlineStr">
        <is>
          <t>Medium</t>
        </is>
      </c>
      <c r="Q69" s="3" t="inlineStr"/>
    </row>
    <row r="70">
      <c r="A70" s="3" t="inlineStr">
        <is>
          <t>T067</t>
        </is>
      </c>
      <c r="B70" s="3" t="inlineStr">
        <is>
          <t>P8a</t>
        </is>
      </c>
      <c r="C70" s="3" t="inlineStr">
        <is>
          <t>Group 2: Remaining 8 Models</t>
        </is>
      </c>
      <c r="D70" s="3" t="inlineStr">
        <is>
          <t>Complete PIR for Group 2 models</t>
        </is>
      </c>
      <c r="E70" s="3" t="inlineStr">
        <is>
          <t>BOTH</t>
        </is>
      </c>
      <c r="F70" s="3" t="inlineStr">
        <is>
          <t>BOTH</t>
        </is>
      </c>
      <c r="G70" s="3" t="inlineStr">
        <is>
          <t>ABSA Risk Owner</t>
        </is>
      </c>
      <c r="H70" s="4" t="inlineStr">
        <is>
          <t>Critical</t>
        </is>
      </c>
      <c r="I70" s="3" t="n">
        <v>8</v>
      </c>
      <c r="J70" s="5" t="n">
        <v>46183</v>
      </c>
      <c r="K70" s="5" t="n">
        <v>46193</v>
      </c>
      <c r="L70" s="3">
        <f>K70-J70+1</f>
        <v/>
      </c>
      <c r="M70" s="3" t="inlineStr">
        <is>
          <t>T066</t>
        </is>
      </c>
      <c r="N70" s="6" t="inlineStr">
        <is>
          <t>Not Started</t>
        </is>
      </c>
      <c r="O70" s="7" t="inlineStr">
        <is>
          <t>Planned</t>
        </is>
      </c>
      <c r="P70" s="10" t="inlineStr">
        <is>
          <t>Medium</t>
        </is>
      </c>
      <c r="Q70" s="3" t="inlineStr"/>
    </row>
    <row r="71">
      <c r="A71" s="13" t="inlineStr">
        <is>
          <t>T068</t>
        </is>
      </c>
      <c r="B71" s="13" t="inlineStr">
        <is>
          <t>P8a</t>
        </is>
      </c>
      <c r="C71" s="13" t="inlineStr">
        <is>
          <t>Group 2: Remaining 8 Models</t>
        </is>
      </c>
      <c r="D71" s="13" t="inlineStr">
        <is>
          <t>MILESTONE: Obtain sign-off for Group 2</t>
        </is>
      </c>
      <c r="E71" s="13" t="inlineStr">
        <is>
          <t>ABSA</t>
        </is>
      </c>
      <c r="F71" s="13" t="inlineStr">
        <is>
          <t>ABSA</t>
        </is>
      </c>
      <c r="G71" s="13" t="inlineStr">
        <is>
          <t>ABSA Risk Owner</t>
        </is>
      </c>
      <c r="H71" s="13" t="inlineStr">
        <is>
          <t>Critical</t>
        </is>
      </c>
      <c r="I71" s="13" t="n">
        <v>2</v>
      </c>
      <c r="J71" s="14" t="n">
        <v>46193</v>
      </c>
      <c r="K71" s="14" t="n">
        <v>46203</v>
      </c>
      <c r="L71" s="13">
        <f>K71-J71+1</f>
        <v/>
      </c>
      <c r="M71" s="13" t="inlineStr">
        <is>
          <t>T067</t>
        </is>
      </c>
      <c r="N71" s="15" t="inlineStr">
        <is>
          <t>Not Started</t>
        </is>
      </c>
      <c r="O71" s="17" t="inlineStr">
        <is>
          <t>Planned</t>
        </is>
      </c>
      <c r="P71" s="18" t="inlineStr">
        <is>
          <t>Medium</t>
        </is>
      </c>
      <c r="Q71" s="13" t="inlineStr">
        <is>
          <t>Closes initial-onboarding scope</t>
        </is>
      </c>
    </row>
    <row r="72">
      <c r="A72" s="3" t="inlineStr">
        <is>
          <t>T069</t>
        </is>
      </c>
      <c r="B72" s="3" t="inlineStr">
        <is>
          <t>P8b</t>
        </is>
      </c>
      <c r="C72" s="3" t="inlineStr">
        <is>
          <t>Dashboards &amp; Delivery</t>
        </is>
      </c>
      <c r="D72" s="3" t="inlineStr">
        <is>
          <t>Agree dashboard views, recipients, access levels</t>
        </is>
      </c>
      <c r="E72" s="3" t="inlineStr">
        <is>
          <t>BOTH</t>
        </is>
      </c>
      <c r="F72" s="3" t="inlineStr">
        <is>
          <t>BOTH</t>
        </is>
      </c>
      <c r="G72" s="3" t="inlineStr">
        <is>
          <t>ABSA Risk Owner</t>
        </is>
      </c>
      <c r="H72" s="9" t="inlineStr">
        <is>
          <t>High</t>
        </is>
      </c>
      <c r="I72" s="3" t="n">
        <v>3</v>
      </c>
      <c r="J72" s="5" t="n">
        <v>46143</v>
      </c>
      <c r="K72" s="5" t="n">
        <v>46151</v>
      </c>
      <c r="L72" s="3">
        <f>K72-J72+1</f>
        <v/>
      </c>
      <c r="M72" s="3" t="inlineStr">
        <is>
          <t>T048</t>
        </is>
      </c>
      <c r="N72" s="6" t="inlineStr">
        <is>
          <t>Not Started</t>
        </is>
      </c>
      <c r="O72" s="7" t="inlineStr">
        <is>
          <t>Planned</t>
        </is>
      </c>
      <c r="P72" s="8" t="inlineStr">
        <is>
          <t>Low</t>
        </is>
      </c>
      <c r="Q72" s="3" t="inlineStr">
        <is>
          <t>Who sees what, when</t>
        </is>
      </c>
    </row>
    <row r="73">
      <c r="A73" s="3" t="inlineStr">
        <is>
          <t>T070</t>
        </is>
      </c>
      <c r="B73" s="3" t="inlineStr">
        <is>
          <t>P8b</t>
        </is>
      </c>
      <c r="C73" s="3" t="inlineStr">
        <is>
          <t>Dashboards &amp; Delivery</t>
        </is>
      </c>
      <c r="D73" s="3" t="inlineStr">
        <is>
          <t>Build monitoring dashboard for runs + exceptions</t>
        </is>
      </c>
      <c r="E73" s="3" t="inlineStr">
        <is>
          <t>EXL</t>
        </is>
      </c>
      <c r="F73" s="3" t="inlineStr">
        <is>
          <t>EXL</t>
        </is>
      </c>
      <c r="G73" s="3" t="inlineStr">
        <is>
          <t>Tech Lead</t>
        </is>
      </c>
      <c r="H73" s="9" t="inlineStr">
        <is>
          <t>High</t>
        </is>
      </c>
      <c r="I73" s="3" t="n">
        <v>10</v>
      </c>
      <c r="J73" s="5" t="n">
        <v>46151</v>
      </c>
      <c r="K73" s="5" t="n">
        <v>46159</v>
      </c>
      <c r="L73" s="3">
        <f>K73-J73+1</f>
        <v/>
      </c>
      <c r="M73" s="3" t="inlineStr">
        <is>
          <t>T069</t>
        </is>
      </c>
      <c r="N73" s="6" t="inlineStr">
        <is>
          <t>Not Started</t>
        </is>
      </c>
      <c r="O73" s="7" t="inlineStr">
        <is>
          <t>Planned</t>
        </is>
      </c>
      <c r="P73" s="10" t="inlineStr">
        <is>
          <t>Medium</t>
        </is>
      </c>
      <c r="Q73" s="3" t="inlineStr">
        <is>
          <t>CloudWatch + Grafana or equivalent</t>
        </is>
      </c>
    </row>
    <row r="74">
      <c r="A74" s="3" t="inlineStr">
        <is>
          <t>T071</t>
        </is>
      </c>
      <c r="B74" s="3" t="inlineStr">
        <is>
          <t>P8b</t>
        </is>
      </c>
      <c r="C74" s="3" t="inlineStr">
        <is>
          <t>Dashboards &amp; Delivery</t>
        </is>
      </c>
      <c r="D74" s="3" t="inlineStr">
        <is>
          <t>Configure notifications + alert routing for failures</t>
        </is>
      </c>
      <c r="E74" s="3" t="inlineStr">
        <is>
          <t>BOTH</t>
        </is>
      </c>
      <c r="F74" s="3" t="inlineStr">
        <is>
          <t>BOTH</t>
        </is>
      </c>
      <c r="G74" s="3" t="inlineStr">
        <is>
          <t>Tech Lead</t>
        </is>
      </c>
      <c r="H74" s="9" t="inlineStr">
        <is>
          <t>High</t>
        </is>
      </c>
      <c r="I74" s="3" t="n">
        <v>3</v>
      </c>
      <c r="J74" s="5" t="n">
        <v>46160</v>
      </c>
      <c r="K74" s="5" t="n">
        <v>46168</v>
      </c>
      <c r="L74" s="3">
        <f>K74-J74+1</f>
        <v/>
      </c>
      <c r="M74" s="3" t="inlineStr">
        <is>
          <t>T070</t>
        </is>
      </c>
      <c r="N74" s="6" t="inlineStr">
        <is>
          <t>Not Started</t>
        </is>
      </c>
      <c r="O74" s="7" t="inlineStr">
        <is>
          <t>Planned</t>
        </is>
      </c>
      <c r="P74" s="10" t="inlineStr">
        <is>
          <t>Medium</t>
        </is>
      </c>
      <c r="Q74" s="3" t="inlineStr">
        <is>
          <t>SNS / PagerDuty / Slack</t>
        </is>
      </c>
    </row>
    <row r="75">
      <c r="A75" s="3" t="inlineStr">
        <is>
          <t>T072</t>
        </is>
      </c>
      <c r="B75" s="3" t="inlineStr">
        <is>
          <t>P8b</t>
        </is>
      </c>
      <c r="C75" s="3" t="inlineStr">
        <is>
          <t>Dashboards &amp; Delivery</t>
        </is>
      </c>
      <c r="D75" s="3" t="inlineStr">
        <is>
          <t>Validate dashboard for inputs, outputs, failures</t>
        </is>
      </c>
      <c r="E75" s="3" t="inlineStr">
        <is>
          <t>BOTH</t>
        </is>
      </c>
      <c r="F75" s="3" t="inlineStr">
        <is>
          <t>BOTH</t>
        </is>
      </c>
      <c r="G75" s="3" t="inlineStr">
        <is>
          <t>ABSA Risk Owner</t>
        </is>
      </c>
      <c r="H75" s="9" t="inlineStr">
        <is>
          <t>High</t>
        </is>
      </c>
      <c r="I75" s="3" t="n">
        <v>3</v>
      </c>
      <c r="J75" s="5" t="n">
        <v>46168</v>
      </c>
      <c r="K75" s="5" t="n">
        <v>46176</v>
      </c>
      <c r="L75" s="3">
        <f>K75-J75+1</f>
        <v/>
      </c>
      <c r="M75" s="3" t="inlineStr">
        <is>
          <t>T070</t>
        </is>
      </c>
      <c r="N75" s="6" t="inlineStr">
        <is>
          <t>Not Started</t>
        </is>
      </c>
      <c r="O75" s="7" t="inlineStr">
        <is>
          <t>Planned</t>
        </is>
      </c>
      <c r="P75" s="8" t="inlineStr">
        <is>
          <t>Low</t>
        </is>
      </c>
      <c r="Q75" s="3" t="inlineStr"/>
    </row>
    <row r="76">
      <c r="A76" s="3" t="inlineStr">
        <is>
          <t>T073</t>
        </is>
      </c>
      <c r="B76" s="3" t="inlineStr">
        <is>
          <t>P8b</t>
        </is>
      </c>
      <c r="C76" s="3" t="inlineStr">
        <is>
          <t>Dashboards &amp; Delivery</t>
        </is>
      </c>
      <c r="D76" s="3" t="inlineStr">
        <is>
          <t>Set up secure output delivery process to ABSA</t>
        </is>
      </c>
      <c r="E76" s="3" t="inlineStr">
        <is>
          <t>EXL</t>
        </is>
      </c>
      <c r="F76" s="3" t="inlineStr">
        <is>
          <t>EXL</t>
        </is>
      </c>
      <c r="G76" s="3" t="inlineStr">
        <is>
          <t>Compliance Lead</t>
        </is>
      </c>
      <c r="H76" s="4" t="inlineStr">
        <is>
          <t>Critical</t>
        </is>
      </c>
      <c r="I76" s="3" t="n">
        <v>5</v>
      </c>
      <c r="J76" s="5" t="n">
        <v>46177</v>
      </c>
      <c r="K76" s="5" t="n">
        <v>46185</v>
      </c>
      <c r="L76" s="3">
        <f>K76-J76+1</f>
        <v/>
      </c>
      <c r="M76" s="3" t="inlineStr">
        <is>
          <t>T018</t>
        </is>
      </c>
      <c r="N76" s="12" t="inlineStr">
        <is>
          <t>In Progress</t>
        </is>
      </c>
      <c r="O76" s="10" t="inlineStr">
        <is>
          <t>Partial</t>
        </is>
      </c>
      <c r="P76" s="10" t="inlineStr">
        <is>
          <t>Medium</t>
        </is>
      </c>
      <c r="Q76" s="3" t="inlineStr">
        <is>
          <t>S3 replication path</t>
        </is>
      </c>
    </row>
    <row r="77">
      <c r="A77" s="3" t="inlineStr">
        <is>
          <t>T074</t>
        </is>
      </c>
      <c r="B77" s="3" t="inlineStr">
        <is>
          <t>P8b</t>
        </is>
      </c>
      <c r="C77" s="3" t="inlineStr">
        <is>
          <t>Dashboards &amp; Delivery</t>
        </is>
      </c>
      <c r="D77" s="3" t="inlineStr">
        <is>
          <t>Confirm operational runbooks + support contacts</t>
        </is>
      </c>
      <c r="E77" s="3" t="inlineStr">
        <is>
          <t>BOTH</t>
        </is>
      </c>
      <c r="F77" s="3" t="inlineStr">
        <is>
          <t>BOTH</t>
        </is>
      </c>
      <c r="G77" s="3" t="inlineStr">
        <is>
          <t>Program Mgr</t>
        </is>
      </c>
      <c r="H77" s="9" t="inlineStr">
        <is>
          <t>High</t>
        </is>
      </c>
      <c r="I77" s="3" t="n">
        <v>3</v>
      </c>
      <c r="J77" s="5" t="n">
        <v>46185</v>
      </c>
      <c r="K77" s="5" t="n">
        <v>46193</v>
      </c>
      <c r="L77" s="3">
        <f>K77-J77+1</f>
        <v/>
      </c>
      <c r="M77" s="3" t="inlineStr">
        <is>
          <t>T070</t>
        </is>
      </c>
      <c r="N77" s="12" t="inlineStr">
        <is>
          <t>In Progress</t>
        </is>
      </c>
      <c r="O77" s="10" t="inlineStr">
        <is>
          <t>Partial</t>
        </is>
      </c>
      <c r="P77" s="10" t="inlineStr">
        <is>
          <t>Medium</t>
        </is>
      </c>
      <c r="Q77" s="3" t="inlineStr">
        <is>
          <t>docs/runbooks/ started</t>
        </is>
      </c>
    </row>
    <row r="78">
      <c r="A78" s="3" t="inlineStr">
        <is>
          <t>T075</t>
        </is>
      </c>
      <c r="B78" s="3" t="inlineStr">
        <is>
          <t>P8b</t>
        </is>
      </c>
      <c r="C78" s="3" t="inlineStr">
        <is>
          <t>Dashboards &amp; Delivery</t>
        </is>
      </c>
      <c r="D78" s="3" t="inlineStr">
        <is>
          <t>Publish runbooks + operating procedures + handover</t>
        </is>
      </c>
      <c r="E78" s="3" t="inlineStr">
        <is>
          <t>EXL</t>
        </is>
      </c>
      <c r="F78" s="3" t="inlineStr">
        <is>
          <t>EXL</t>
        </is>
      </c>
      <c r="G78" s="3" t="inlineStr">
        <is>
          <t>Program Mgr</t>
        </is>
      </c>
      <c r="H78" s="4" t="inlineStr">
        <is>
          <t>Critical</t>
        </is>
      </c>
      <c r="I78" s="3" t="n">
        <v>5</v>
      </c>
      <c r="J78" s="5" t="n">
        <v>46194</v>
      </c>
      <c r="K78" s="5" t="n">
        <v>46202</v>
      </c>
      <c r="L78" s="3">
        <f>K78-J78+1</f>
        <v/>
      </c>
      <c r="M78" s="3" t="inlineStr">
        <is>
          <t>T074</t>
        </is>
      </c>
      <c r="N78" s="12" t="inlineStr">
        <is>
          <t>In Progress</t>
        </is>
      </c>
      <c r="O78" s="10" t="inlineStr">
        <is>
          <t>Partial</t>
        </is>
      </c>
      <c r="P78" s="10" t="inlineStr">
        <is>
          <t>Medium</t>
        </is>
      </c>
      <c r="Q78" s="3" t="inlineStr">
        <is>
          <t>Demo + key-rotation runbooks done</t>
        </is>
      </c>
    </row>
    <row r="79">
      <c r="A79" s="3" t="inlineStr">
        <is>
          <t>T076</t>
        </is>
      </c>
      <c r="B79" s="3" t="inlineStr">
        <is>
          <t>P9a</t>
        </is>
      </c>
      <c r="C79" s="3" t="inlineStr">
        <is>
          <t>Steady State Support</t>
        </is>
      </c>
      <c r="D79" s="3" t="inlineStr">
        <is>
          <t>Start scheduled production scoring</t>
        </is>
      </c>
      <c r="E79" s="3" t="inlineStr">
        <is>
          <t>EXL</t>
        </is>
      </c>
      <c r="F79" s="3" t="inlineStr">
        <is>
          <t>EXL</t>
        </is>
      </c>
      <c r="G79" s="3" t="inlineStr">
        <is>
          <t>Tech Lead</t>
        </is>
      </c>
      <c r="H79" s="4" t="inlineStr">
        <is>
          <t>Critical</t>
        </is>
      </c>
      <c r="I79" s="3" t="n">
        <v>5</v>
      </c>
      <c r="J79" s="5" t="n">
        <v>46204</v>
      </c>
      <c r="K79" s="5" t="n">
        <v>46225</v>
      </c>
      <c r="L79" s="3">
        <f>K79-J79+1</f>
        <v/>
      </c>
      <c r="M79" s="3" t="inlineStr">
        <is>
          <t>T068,T075</t>
        </is>
      </c>
      <c r="N79" s="6" t="inlineStr">
        <is>
          <t>Not Started</t>
        </is>
      </c>
      <c r="O79" s="7" t="inlineStr">
        <is>
          <t>Planned</t>
        </is>
      </c>
      <c r="P79" s="10" t="inlineStr">
        <is>
          <t>Medium</t>
        </is>
      </c>
      <c r="Q79" s="3" t="inlineStr"/>
    </row>
    <row r="80">
      <c r="A80" s="3" t="inlineStr">
        <is>
          <t>T077</t>
        </is>
      </c>
      <c r="B80" s="3" t="inlineStr">
        <is>
          <t>P9a</t>
        </is>
      </c>
      <c r="C80" s="3" t="inlineStr">
        <is>
          <t>Steady State Support</t>
        </is>
      </c>
      <c r="D80" s="3" t="inlineStr">
        <is>
          <t>Monitor daily, weekly, monthly scoring runs</t>
        </is>
      </c>
      <c r="E80" s="3" t="inlineStr">
        <is>
          <t>EXL</t>
        </is>
      </c>
      <c r="F80" s="3" t="inlineStr">
        <is>
          <t>EXL</t>
        </is>
      </c>
      <c r="G80" s="3" t="inlineStr">
        <is>
          <t>Tech Lead</t>
        </is>
      </c>
      <c r="H80" s="9" t="inlineStr">
        <is>
          <t>High</t>
        </is>
      </c>
      <c r="I80" s="3" t="n">
        <v>0</v>
      </c>
      <c r="J80" s="5" t="n">
        <v>46225</v>
      </c>
      <c r="K80" s="5" t="n">
        <v>46246</v>
      </c>
      <c r="L80" s="3">
        <f>K80-J80+1</f>
        <v/>
      </c>
      <c r="M80" s="3" t="inlineStr">
        <is>
          <t>T076</t>
        </is>
      </c>
      <c r="N80" s="6" t="inlineStr">
        <is>
          <t>Not Started</t>
        </is>
      </c>
      <c r="O80" s="7" t="inlineStr">
        <is>
          <t>Planned</t>
        </is>
      </c>
      <c r="P80" s="8" t="inlineStr">
        <is>
          <t>Low</t>
        </is>
      </c>
      <c r="Q80" s="3" t="inlineStr">
        <is>
          <t>Ongoing</t>
        </is>
      </c>
    </row>
    <row r="81">
      <c r="A81" s="3" t="inlineStr">
        <is>
          <t>T078</t>
        </is>
      </c>
      <c r="B81" s="3" t="inlineStr">
        <is>
          <t>P9a</t>
        </is>
      </c>
      <c r="C81" s="3" t="inlineStr">
        <is>
          <t>Steady State Support</t>
        </is>
      </c>
      <c r="D81" s="3" t="inlineStr">
        <is>
          <t>Track run failures + coordinate recovery actions</t>
        </is>
      </c>
      <c r="E81" s="3" t="inlineStr">
        <is>
          <t>BOTH</t>
        </is>
      </c>
      <c r="F81" s="3" t="inlineStr">
        <is>
          <t>BOTH</t>
        </is>
      </c>
      <c r="G81" s="3" t="inlineStr">
        <is>
          <t>ABSA Risk Owner</t>
        </is>
      </c>
      <c r="H81" s="4" t="inlineStr">
        <is>
          <t>Critical</t>
        </is>
      </c>
      <c r="I81" s="3" t="n">
        <v>0</v>
      </c>
      <c r="J81" s="5" t="n">
        <v>46246</v>
      </c>
      <c r="K81" s="5" t="n">
        <v>46267</v>
      </c>
      <c r="L81" s="3">
        <f>K81-J81+1</f>
        <v/>
      </c>
      <c r="M81" s="3" t="inlineStr">
        <is>
          <t>T076</t>
        </is>
      </c>
      <c r="N81" s="6" t="inlineStr">
        <is>
          <t>Not Started</t>
        </is>
      </c>
      <c r="O81" s="7" t="inlineStr">
        <is>
          <t>Planned</t>
        </is>
      </c>
      <c r="P81" s="10" t="inlineStr">
        <is>
          <t>Medium</t>
        </is>
      </c>
      <c r="Q81" s="3" t="inlineStr">
        <is>
          <t>Incident response process</t>
        </is>
      </c>
    </row>
    <row r="82">
      <c r="A82" s="3" t="inlineStr">
        <is>
          <t>T079</t>
        </is>
      </c>
      <c r="B82" s="3" t="inlineStr">
        <is>
          <t>P9a</t>
        </is>
      </c>
      <c r="C82" s="3" t="inlineStr">
        <is>
          <t>Steady State Support</t>
        </is>
      </c>
      <c r="D82" s="3" t="inlineStr">
        <is>
          <t>Maintain audit trail for every scoring run and delivery</t>
        </is>
      </c>
      <c r="E82" s="3" t="inlineStr">
        <is>
          <t>EXL</t>
        </is>
      </c>
      <c r="F82" s="3" t="inlineStr">
        <is>
          <t>EXL</t>
        </is>
      </c>
      <c r="G82" s="3" t="inlineStr">
        <is>
          <t>Compliance Lead</t>
        </is>
      </c>
      <c r="H82" s="4" t="inlineStr">
        <is>
          <t>Critical</t>
        </is>
      </c>
      <c r="I82" s="3" t="n">
        <v>0</v>
      </c>
      <c r="J82" s="5" t="n">
        <v>46268</v>
      </c>
      <c r="K82" s="5" t="n">
        <v>46289</v>
      </c>
      <c r="L82" s="3">
        <f>K82-J82+1</f>
        <v/>
      </c>
      <c r="M82" s="3" t="inlineStr">
        <is>
          <t>T076</t>
        </is>
      </c>
      <c r="N82" s="8" t="inlineStr">
        <is>
          <t>Done</t>
        </is>
      </c>
      <c r="O82" s="8" t="inlineStr">
        <is>
          <t>Done</t>
        </is>
      </c>
      <c r="P82" s="8" t="inlineStr">
        <is>
          <t>Low</t>
        </is>
      </c>
      <c r="Q82" s="3" t="inlineStr">
        <is>
          <t>registry-api audit + signed manifests</t>
        </is>
      </c>
    </row>
    <row r="83">
      <c r="A83" s="3" t="inlineStr">
        <is>
          <t>T080</t>
        </is>
      </c>
      <c r="B83" s="3" t="inlineStr">
        <is>
          <t>P9a</t>
        </is>
      </c>
      <c r="C83" s="3" t="inlineStr">
        <is>
          <t>Steady State Support</t>
        </is>
      </c>
      <c r="D83" s="3" t="inlineStr">
        <is>
          <t>Review data drift, anomalies, scoring exceptions</t>
        </is>
      </c>
      <c r="E83" s="3" t="inlineStr">
        <is>
          <t>BOTH</t>
        </is>
      </c>
      <c r="F83" s="3" t="inlineStr">
        <is>
          <t>BOTH</t>
        </is>
      </c>
      <c r="G83" s="3" t="inlineStr">
        <is>
          <t>ABSA Risk Owner</t>
        </is>
      </c>
      <c r="H83" s="9" t="inlineStr">
        <is>
          <t>High</t>
        </is>
      </c>
      <c r="I83" s="3" t="n">
        <v>0</v>
      </c>
      <c r="J83" s="5" t="n">
        <v>46289</v>
      </c>
      <c r="K83" s="5" t="n">
        <v>46310</v>
      </c>
      <c r="L83" s="3">
        <f>K83-J83+1</f>
        <v/>
      </c>
      <c r="M83" s="3" t="inlineStr">
        <is>
          <t>T076</t>
        </is>
      </c>
      <c r="N83" s="6" t="inlineStr">
        <is>
          <t>Not Started</t>
        </is>
      </c>
      <c r="O83" s="7" t="inlineStr">
        <is>
          <t>Planned</t>
        </is>
      </c>
      <c r="P83" s="10" t="inlineStr">
        <is>
          <t>Medium</t>
        </is>
      </c>
      <c r="Q83" s="3" t="inlineStr">
        <is>
          <t>*** Need Comment: drift framework ***</t>
        </is>
      </c>
    </row>
    <row r="84">
      <c r="A84" s="3" t="inlineStr">
        <is>
          <t>T081</t>
        </is>
      </c>
      <c r="B84" s="3" t="inlineStr">
        <is>
          <t>P9a</t>
        </is>
      </c>
      <c r="C84" s="3" t="inlineStr">
        <is>
          <t>Steady State Support</t>
        </is>
      </c>
      <c r="D84" s="3" t="inlineStr">
        <is>
          <t>Manage approved changes</t>
        </is>
      </c>
      <c r="E84" s="3" t="inlineStr">
        <is>
          <t>BOTH</t>
        </is>
      </c>
      <c r="F84" s="3" t="inlineStr">
        <is>
          <t>BOTH</t>
        </is>
      </c>
      <c r="G84" s="3" t="inlineStr">
        <is>
          <t>ABSA Risk Owner</t>
        </is>
      </c>
      <c r="H84" s="9" t="inlineStr">
        <is>
          <t>High</t>
        </is>
      </c>
      <c r="I84" s="3" t="n">
        <v>0</v>
      </c>
      <c r="J84" s="5" t="n">
        <v>46311</v>
      </c>
      <c r="K84" s="5" t="n">
        <v>46332</v>
      </c>
      <c r="L84" s="3">
        <f>K84-J84+1</f>
        <v/>
      </c>
      <c r="M84" s="3" t="inlineStr">
        <is>
          <t>T076</t>
        </is>
      </c>
      <c r="N84" s="6" t="inlineStr">
        <is>
          <t>Not Started</t>
        </is>
      </c>
      <c r="O84" s="7" t="inlineStr">
        <is>
          <t>Planned</t>
        </is>
      </c>
      <c r="P84" s="10" t="inlineStr">
        <is>
          <t>Medium</t>
        </is>
      </c>
      <c r="Q84" s="3" t="inlineStr">
        <is>
          <t>*** Need Comment: change-mgmt cadence ***</t>
        </is>
      </c>
    </row>
    <row r="85">
      <c r="A85" s="3" t="inlineStr">
        <is>
          <t>T082</t>
        </is>
      </c>
      <c r="B85" s="3" t="inlineStr">
        <is>
          <t>P9a</t>
        </is>
      </c>
      <c r="C85" s="3" t="inlineStr">
        <is>
          <t>Steady State Support</t>
        </is>
      </c>
      <c r="D85" s="3" t="inlineStr">
        <is>
          <t>Refresh access, whitelists, secrets when required</t>
        </is>
      </c>
      <c r="E85" s="3" t="inlineStr">
        <is>
          <t>BOTH</t>
        </is>
      </c>
      <c r="F85" s="3" t="inlineStr">
        <is>
          <t>BOTH</t>
        </is>
      </c>
      <c r="G85" s="3" t="inlineStr">
        <is>
          <t>Compliance Lead</t>
        </is>
      </c>
      <c r="H85" s="9" t="inlineStr">
        <is>
          <t>High</t>
        </is>
      </c>
      <c r="I85" s="3" t="n">
        <v>0</v>
      </c>
      <c r="J85" s="5" t="n">
        <v>46332</v>
      </c>
      <c r="K85" s="5" t="n">
        <v>46353</v>
      </c>
      <c r="L85" s="3">
        <f>K85-J85+1</f>
        <v/>
      </c>
      <c r="M85" s="3" t="inlineStr">
        <is>
          <t>T076</t>
        </is>
      </c>
      <c r="N85" s="6" t="inlineStr">
        <is>
          <t>Not Started</t>
        </is>
      </c>
      <c r="O85" s="7" t="inlineStr">
        <is>
          <t>Planned</t>
        </is>
      </c>
      <c r="P85" s="10" t="inlineStr">
        <is>
          <t>Medium</t>
        </is>
      </c>
      <c r="Q85" s="3" t="inlineStr">
        <is>
          <t>*** Need Comment: rotation cadence ***</t>
        </is>
      </c>
    </row>
    <row r="86">
      <c r="A86" s="3" t="inlineStr">
        <is>
          <t>T083</t>
        </is>
      </c>
      <c r="B86" s="3" t="inlineStr">
        <is>
          <t>P9a</t>
        </is>
      </c>
      <c r="C86" s="3" t="inlineStr">
        <is>
          <t>Steady State Support</t>
        </is>
      </c>
      <c r="D86" s="3" t="inlineStr">
        <is>
          <t>Archive model data + outputs as per retention rules</t>
        </is>
      </c>
      <c r="E86" s="3" t="inlineStr">
        <is>
          <t>EXL</t>
        </is>
      </c>
      <c r="F86" s="3" t="inlineStr">
        <is>
          <t>EXL</t>
        </is>
      </c>
      <c r="G86" s="3" t="inlineStr">
        <is>
          <t>Compliance Lead</t>
        </is>
      </c>
      <c r="H86" s="3" t="inlineStr">
        <is>
          <t>Medium</t>
        </is>
      </c>
      <c r="I86" s="3" t="n">
        <v>0</v>
      </c>
      <c r="J86" s="5" t="n">
        <v>46353</v>
      </c>
      <c r="K86" s="5" t="n">
        <v>46374</v>
      </c>
      <c r="L86" s="3">
        <f>K86-J86+1</f>
        <v/>
      </c>
      <c r="M86" s="3" t="inlineStr">
        <is>
          <t>T076</t>
        </is>
      </c>
      <c r="N86" s="6" t="inlineStr">
        <is>
          <t>Not Started</t>
        </is>
      </c>
      <c r="O86" s="7" t="inlineStr">
        <is>
          <t>Planned</t>
        </is>
      </c>
      <c r="P86" s="8" t="inlineStr">
        <is>
          <t>Low</t>
        </is>
      </c>
      <c r="Q86" s="3" t="inlineStr">
        <is>
          <t>S3 lifecycle policies</t>
        </is>
      </c>
    </row>
    <row r="87">
      <c r="A87" s="3" t="inlineStr">
        <is>
          <t>T084</t>
        </is>
      </c>
      <c r="B87" s="3" t="inlineStr">
        <is>
          <t>P9a</t>
        </is>
      </c>
      <c r="C87" s="3" t="inlineStr">
        <is>
          <t>Steady State Support</t>
        </is>
      </c>
      <c r="D87" s="3" t="inlineStr">
        <is>
          <t>Conduct periodic service review with ABSA</t>
        </is>
      </c>
      <c r="E87" s="3" t="inlineStr">
        <is>
          <t>BOTH</t>
        </is>
      </c>
      <c r="F87" s="3" t="inlineStr">
        <is>
          <t>BOTH</t>
        </is>
      </c>
      <c r="G87" s="3" t="inlineStr">
        <is>
          <t>ABSA Risk Owner</t>
        </is>
      </c>
      <c r="H87" s="9" t="inlineStr">
        <is>
          <t>High</t>
        </is>
      </c>
      <c r="I87" s="3" t="n">
        <v>0</v>
      </c>
      <c r="J87" s="5" t="n">
        <v>46375</v>
      </c>
      <c r="K87" s="5" t="n">
        <v>46396</v>
      </c>
      <c r="L87" s="3">
        <f>K87-J87+1</f>
        <v/>
      </c>
      <c r="M87" s="3" t="inlineStr">
        <is>
          <t>T076</t>
        </is>
      </c>
      <c r="N87" s="6" t="inlineStr">
        <is>
          <t>Not Started</t>
        </is>
      </c>
      <c r="O87" s="7" t="inlineStr">
        <is>
          <t>Planned</t>
        </is>
      </c>
      <c r="P87" s="8" t="inlineStr">
        <is>
          <t>Low</t>
        </is>
      </c>
      <c r="Q87" s="3" t="inlineStr">
        <is>
          <t>Quarterly cadence</t>
        </is>
      </c>
    </row>
    <row r="88">
      <c r="A88" s="3" t="inlineStr">
        <is>
          <t>T085</t>
        </is>
      </c>
      <c r="B88" s="3" t="inlineStr">
        <is>
          <t>P9a</t>
        </is>
      </c>
      <c r="C88" s="3" t="inlineStr">
        <is>
          <t>Steady State Support</t>
        </is>
      </c>
      <c r="D88" s="3" t="inlineStr">
        <is>
          <t>Handle operational incidents + secondary support</t>
        </is>
      </c>
      <c r="E88" s="3" t="inlineStr">
        <is>
          <t>EXL</t>
        </is>
      </c>
      <c r="F88" s="3" t="inlineStr">
        <is>
          <t>EXL</t>
        </is>
      </c>
      <c r="G88" s="3" t="inlineStr">
        <is>
          <t>Program Mgr</t>
        </is>
      </c>
      <c r="H88" s="4" t="inlineStr">
        <is>
          <t>Critical</t>
        </is>
      </c>
      <c r="I88" s="3" t="n">
        <v>0</v>
      </c>
      <c r="J88" s="5" t="n">
        <v>46396</v>
      </c>
      <c r="K88" s="5" t="n">
        <v>46417</v>
      </c>
      <c r="L88" s="3">
        <f>K88-J88+1</f>
        <v/>
      </c>
      <c r="M88" s="3" t="inlineStr">
        <is>
          <t>T076</t>
        </is>
      </c>
      <c r="N88" s="6" t="inlineStr">
        <is>
          <t>Not Started</t>
        </is>
      </c>
      <c r="O88" s="7" t="inlineStr">
        <is>
          <t>Planned</t>
        </is>
      </c>
      <c r="P88" s="10" t="inlineStr">
        <is>
          <t>Medium</t>
        </is>
      </c>
      <c r="Q88" s="3" t="inlineStr"/>
    </row>
    <row r="89">
      <c r="A89" s="3" t="inlineStr">
        <is>
          <t>T086</t>
        </is>
      </c>
      <c r="B89" s="3" t="inlineStr">
        <is>
          <t>P9b</t>
        </is>
      </c>
      <c r="C89" s="3" t="inlineStr">
        <is>
          <t>New Model Onboarding</t>
        </is>
      </c>
      <c r="D89" s="3" t="inlineStr">
        <is>
          <t>Review each new onboarding request + classify model type</t>
        </is>
      </c>
      <c r="E89" s="3" t="inlineStr">
        <is>
          <t>BOTH</t>
        </is>
      </c>
      <c r="F89" s="3" t="inlineStr">
        <is>
          <t>BOTH</t>
        </is>
      </c>
      <c r="G89" s="3" t="inlineStr">
        <is>
          <t>Program Mgr</t>
        </is>
      </c>
      <c r="H89" s="9" t="inlineStr">
        <is>
          <t>High</t>
        </is>
      </c>
      <c r="I89" s="3" t="n">
        <v>2</v>
      </c>
      <c r="J89" s="5" t="n">
        <v>46204</v>
      </c>
      <c r="K89" s="5" t="n">
        <v>46239</v>
      </c>
      <c r="L89" s="3">
        <f>K89-J89+1</f>
        <v/>
      </c>
      <c r="M89" s="3" t="inlineStr">
        <is>
          <t>T068</t>
        </is>
      </c>
      <c r="N89" s="6" t="inlineStr">
        <is>
          <t>Not Started</t>
        </is>
      </c>
      <c r="O89" s="7" t="inlineStr">
        <is>
          <t>Planned</t>
        </is>
      </c>
      <c r="P89" s="8" t="inlineStr">
        <is>
          <t>Low</t>
        </is>
      </c>
      <c r="Q89" s="3" t="inlineStr">
        <is>
          <t>Standard-batch / Scalable-batch / Realtime</t>
        </is>
      </c>
    </row>
    <row r="90">
      <c r="A90" s="3" t="inlineStr">
        <is>
          <t>T087</t>
        </is>
      </c>
      <c r="B90" s="3" t="inlineStr">
        <is>
          <t>P9b</t>
        </is>
      </c>
      <c r="C90" s="3" t="inlineStr">
        <is>
          <t>New Model Onboarding</t>
        </is>
      </c>
      <c r="D90" s="3" t="inlineStr">
        <is>
          <t>Collect approved artefacts, inputs, benchmark outputs</t>
        </is>
      </c>
      <c r="E90" s="3" t="inlineStr">
        <is>
          <t>ABSA</t>
        </is>
      </c>
      <c r="F90" s="3" t="inlineStr">
        <is>
          <t>ABSA</t>
        </is>
      </c>
      <c r="G90" s="3" t="inlineStr">
        <is>
          <t>ABSA Model Owner</t>
        </is>
      </c>
      <c r="H90" s="9" t="inlineStr">
        <is>
          <t>High</t>
        </is>
      </c>
      <c r="I90" s="3" t="n">
        <v>5</v>
      </c>
      <c r="J90" s="5" t="n">
        <v>46239</v>
      </c>
      <c r="K90" s="5" t="n">
        <v>46274</v>
      </c>
      <c r="L90" s="3">
        <f>K90-J90+1</f>
        <v/>
      </c>
      <c r="M90" s="3" t="inlineStr">
        <is>
          <t>T086</t>
        </is>
      </c>
      <c r="N90" s="6" t="inlineStr">
        <is>
          <t>Not Started</t>
        </is>
      </c>
      <c r="O90" s="7" t="inlineStr">
        <is>
          <t>Planned</t>
        </is>
      </c>
      <c r="P90" s="10" t="inlineStr">
        <is>
          <t>Medium</t>
        </is>
      </c>
      <c r="Q90" s="3" t="inlineStr">
        <is>
          <t>Same intake contract</t>
        </is>
      </c>
    </row>
    <row r="91">
      <c r="A91" s="3" t="inlineStr">
        <is>
          <t>T088</t>
        </is>
      </c>
      <c r="B91" s="3" t="inlineStr">
        <is>
          <t>P9b</t>
        </is>
      </c>
      <c r="C91" s="3" t="inlineStr">
        <is>
          <t>New Model Onboarding</t>
        </is>
      </c>
      <c r="D91" s="3" t="inlineStr">
        <is>
          <t>Reuse existing template for subsequent model of same type</t>
        </is>
      </c>
      <c r="E91" s="3" t="inlineStr">
        <is>
          <t>EXL</t>
        </is>
      </c>
      <c r="F91" s="3" t="inlineStr">
        <is>
          <t>EXL</t>
        </is>
      </c>
      <c r="G91" s="3" t="inlineStr">
        <is>
          <t>Tech Lead</t>
        </is>
      </c>
      <c r="H91" s="3" t="inlineStr">
        <is>
          <t>Medium</t>
        </is>
      </c>
      <c r="I91" s="3" t="n">
        <v>3</v>
      </c>
      <c r="J91" s="5" t="n">
        <v>46275</v>
      </c>
      <c r="K91" s="5" t="n">
        <v>46310</v>
      </c>
      <c r="L91" s="3">
        <f>K91-J91+1</f>
        <v/>
      </c>
      <c r="M91" s="3" t="inlineStr">
        <is>
          <t>T087</t>
        </is>
      </c>
      <c r="N91" s="8" t="inlineStr">
        <is>
          <t>Done</t>
        </is>
      </c>
      <c r="O91" s="8" t="inlineStr">
        <is>
          <t>Done</t>
        </is>
      </c>
      <c r="P91" s="8" t="inlineStr">
        <is>
          <t>Low</t>
        </is>
      </c>
      <c r="Q91" s="3" t="inlineStr">
        <is>
          <t>pipeline-factory regenerates</t>
        </is>
      </c>
    </row>
    <row r="92">
      <c r="A92" s="3" t="inlineStr">
        <is>
          <t>T089</t>
        </is>
      </c>
      <c r="B92" s="3" t="inlineStr">
        <is>
          <t>P9b</t>
        </is>
      </c>
      <c r="C92" s="3" t="inlineStr">
        <is>
          <t>New Model Onboarding</t>
        </is>
      </c>
      <c r="D92" s="3" t="inlineStr">
        <is>
          <t>Build type-specific controls for new model category</t>
        </is>
      </c>
      <c r="E92" s="3" t="inlineStr">
        <is>
          <t>EXL</t>
        </is>
      </c>
      <c r="F92" s="3" t="inlineStr">
        <is>
          <t>EXL</t>
        </is>
      </c>
      <c r="G92" s="3" t="inlineStr">
        <is>
          <t>Tech Lead</t>
        </is>
      </c>
      <c r="H92" s="3" t="inlineStr">
        <is>
          <t>Medium</t>
        </is>
      </c>
      <c r="I92" s="3" t="n">
        <v>10</v>
      </c>
      <c r="J92" s="5" t="n">
        <v>46311</v>
      </c>
      <c r="K92" s="5" t="n">
        <v>46346</v>
      </c>
      <c r="L92" s="3">
        <f>K92-J92+1</f>
        <v/>
      </c>
      <c r="M92" s="3" t="inlineStr">
        <is>
          <t>T087</t>
        </is>
      </c>
      <c r="N92" s="6" t="inlineStr">
        <is>
          <t>Not Started</t>
        </is>
      </c>
      <c r="O92" s="7" t="inlineStr">
        <is>
          <t>Planned</t>
        </is>
      </c>
      <c r="P92" s="10" t="inlineStr">
        <is>
          <t>Medium</t>
        </is>
      </c>
      <c r="Q92" s="3" t="inlineStr">
        <is>
          <t>If new tier introduced</t>
        </is>
      </c>
    </row>
    <row r="93">
      <c r="A93" s="3" t="inlineStr">
        <is>
          <t>T090</t>
        </is>
      </c>
      <c r="B93" s="3" t="inlineStr">
        <is>
          <t>P9b</t>
        </is>
      </c>
      <c r="C93" s="3" t="inlineStr">
        <is>
          <t>New Model Onboarding</t>
        </is>
      </c>
      <c r="D93" s="3" t="inlineStr">
        <is>
          <t>Run validation, scoring, PIR for each newly onboarded model</t>
        </is>
      </c>
      <c r="E93" s="3" t="inlineStr">
        <is>
          <t>BOTH</t>
        </is>
      </c>
      <c r="F93" s="3" t="inlineStr">
        <is>
          <t>BOTH</t>
        </is>
      </c>
      <c r="G93" s="3" t="inlineStr">
        <is>
          <t>ABSA Model Owner</t>
        </is>
      </c>
      <c r="H93" s="9" t="inlineStr">
        <is>
          <t>High</t>
        </is>
      </c>
      <c r="I93" s="3" t="n">
        <v>10</v>
      </c>
      <c r="J93" s="5" t="n">
        <v>46346</v>
      </c>
      <c r="K93" s="5" t="n">
        <v>46381</v>
      </c>
      <c r="L93" s="3">
        <f>K93-J93+1</f>
        <v/>
      </c>
      <c r="M93" s="3" t="inlineStr">
        <is>
          <t>T088</t>
        </is>
      </c>
      <c r="N93" s="6" t="inlineStr">
        <is>
          <t>Not Started</t>
        </is>
      </c>
      <c r="O93" s="7" t="inlineStr">
        <is>
          <t>Planned</t>
        </is>
      </c>
      <c r="P93" s="10" t="inlineStr">
        <is>
          <t>Medium</t>
        </is>
      </c>
      <c r="Q93" s="3" t="inlineStr">
        <is>
          <t>Same Group 1/2 framework</t>
        </is>
      </c>
    </row>
    <row r="94">
      <c r="A94" s="3" t="inlineStr">
        <is>
          <t>T091</t>
        </is>
      </c>
      <c r="B94" s="3" t="inlineStr">
        <is>
          <t>P9b</t>
        </is>
      </c>
      <c r="C94" s="3" t="inlineStr">
        <is>
          <t>New Model Onboarding</t>
        </is>
      </c>
      <c r="D94" s="3" t="inlineStr">
        <is>
          <t>Add approved new models to registry + run schedule</t>
        </is>
      </c>
      <c r="E94" s="3" t="inlineStr">
        <is>
          <t>EXL</t>
        </is>
      </c>
      <c r="F94" s="3" t="inlineStr">
        <is>
          <t>EXL</t>
        </is>
      </c>
      <c r="G94" s="3" t="inlineStr">
        <is>
          <t>Tech Lead</t>
        </is>
      </c>
      <c r="H94" s="3" t="inlineStr">
        <is>
          <t>Medium</t>
        </is>
      </c>
      <c r="I94" s="3" t="n">
        <v>2</v>
      </c>
      <c r="J94" s="5" t="n">
        <v>46382</v>
      </c>
      <c r="K94" s="5" t="n">
        <v>46417</v>
      </c>
      <c r="L94" s="3">
        <f>K94-J94+1</f>
        <v/>
      </c>
      <c r="M94" s="3" t="inlineStr">
        <is>
          <t>T090</t>
        </is>
      </c>
      <c r="N94" s="8" t="inlineStr">
        <is>
          <t>Done</t>
        </is>
      </c>
      <c r="O94" s="8" t="inlineStr">
        <is>
          <t>Done</t>
        </is>
      </c>
      <c r="P94" s="8" t="inlineStr">
        <is>
          <t>Low</t>
        </is>
      </c>
      <c r="Q94" s="3" t="inlineStr">
        <is>
          <t>register-pipeline + EventBridge</t>
        </is>
      </c>
    </row>
    <row r="95">
      <c r="A95" s="3" t="inlineStr">
        <is>
          <t>T101</t>
        </is>
      </c>
      <c r="B95" s="3" t="inlineStr">
        <is>
          <t>M1</t>
        </is>
      </c>
      <c r="C95" s="3" t="inlineStr">
        <is>
          <t>Jenkins Migration: Foundation</t>
        </is>
      </c>
      <c r="D95" s="3" t="inlineStr">
        <is>
          <t>ADR-0011 drafted + committed</t>
        </is>
      </c>
      <c r="E95" s="3" t="inlineStr">
        <is>
          <t>EXL</t>
        </is>
      </c>
      <c r="F95" s="3" t="inlineStr">
        <is>
          <t>EXL</t>
        </is>
      </c>
      <c r="G95" s="3" t="inlineStr">
        <is>
          <t>Tech Lead</t>
        </is>
      </c>
      <c r="H95" s="4" t="inlineStr">
        <is>
          <t>Critical</t>
        </is>
      </c>
      <c r="I95" s="3" t="n">
        <v>1</v>
      </c>
      <c r="J95" s="5" t="n">
        <v>46181</v>
      </c>
      <c r="K95" s="5" t="n">
        <v>46184</v>
      </c>
      <c r="L95" s="3">
        <f>K95-J95+1</f>
        <v/>
      </c>
      <c r="M95" s="3" t="inlineStr"/>
      <c r="N95" s="8" t="inlineStr">
        <is>
          <t>Done</t>
        </is>
      </c>
      <c r="O95" s="8" t="inlineStr">
        <is>
          <t>Done</t>
        </is>
      </c>
      <c r="P95" s="8" t="inlineStr">
        <is>
          <t>Low</t>
        </is>
      </c>
      <c r="Q95" s="3" t="inlineStr">
        <is>
          <t>Status: Proposed</t>
        </is>
      </c>
    </row>
    <row r="96">
      <c r="A96" s="3" t="inlineStr">
        <is>
          <t>T102</t>
        </is>
      </c>
      <c r="B96" s="3" t="inlineStr">
        <is>
          <t>M1</t>
        </is>
      </c>
      <c r="C96" s="3" t="inlineStr">
        <is>
          <t>Jenkins Migration: Foundation</t>
        </is>
      </c>
      <c r="D96" s="3" t="inlineStr">
        <is>
          <t>Shared library 'absa-ci' skeleton + 5 example Jenkinsfiles</t>
        </is>
      </c>
      <c r="E96" s="3" t="inlineStr">
        <is>
          <t>EXL</t>
        </is>
      </c>
      <c r="F96" s="3" t="inlineStr">
        <is>
          <t>EXL</t>
        </is>
      </c>
      <c r="G96" s="3" t="inlineStr">
        <is>
          <t>Tech Lead</t>
        </is>
      </c>
      <c r="H96" s="4" t="inlineStr">
        <is>
          <t>Critical</t>
        </is>
      </c>
      <c r="I96" s="3" t="n">
        <v>2</v>
      </c>
      <c r="J96" s="5" t="n">
        <v>46182</v>
      </c>
      <c r="K96" s="5" t="n">
        <v>46185</v>
      </c>
      <c r="L96" s="3">
        <f>K96-J96+1</f>
        <v/>
      </c>
      <c r="M96" s="3" t="inlineStr">
        <is>
          <t>T101</t>
        </is>
      </c>
      <c r="N96" s="8" t="inlineStr">
        <is>
          <t>Done</t>
        </is>
      </c>
      <c r="O96" s="8" t="inlineStr">
        <is>
          <t>Done</t>
        </is>
      </c>
      <c r="P96" s="8" t="inlineStr">
        <is>
          <t>Low</t>
        </is>
      </c>
      <c r="Q96" s="3" t="inlineStr">
        <is>
          <t>ci/jenkins/ committed</t>
        </is>
      </c>
    </row>
    <row r="97">
      <c r="A97" s="3" t="inlineStr">
        <is>
          <t>T103</t>
        </is>
      </c>
      <c r="B97" s="3" t="inlineStr">
        <is>
          <t>M1</t>
        </is>
      </c>
      <c r="C97" s="3" t="inlineStr">
        <is>
          <t>Jenkins Migration: Foundation</t>
        </is>
      </c>
      <c r="D97" s="3" t="inlineStr">
        <is>
          <t>ABSA confirms Jenkins identity model (IRSA on EKS preferred)</t>
        </is>
      </c>
      <c r="E97" s="3" t="inlineStr">
        <is>
          <t>ABSA</t>
        </is>
      </c>
      <c r="F97" s="3" t="inlineStr">
        <is>
          <t>ABSA</t>
        </is>
      </c>
      <c r="G97" s="3" t="inlineStr">
        <is>
          <t>ABSA Architect</t>
        </is>
      </c>
      <c r="H97" s="4" t="inlineStr">
        <is>
          <t>Critical</t>
        </is>
      </c>
      <c r="I97" s="3" t="n">
        <v>3</v>
      </c>
      <c r="J97" s="5" t="n">
        <v>46183</v>
      </c>
      <c r="K97" s="5" t="n">
        <v>46186</v>
      </c>
      <c r="L97" s="3">
        <f>K97-J97+1</f>
        <v/>
      </c>
      <c r="M97" s="3" t="inlineStr">
        <is>
          <t>T101</t>
        </is>
      </c>
      <c r="N97" s="6" t="inlineStr">
        <is>
          <t>Not Started</t>
        </is>
      </c>
      <c r="O97" s="11" t="inlineStr">
        <is>
          <t>Blocked</t>
        </is>
      </c>
      <c r="P97" s="11" t="inlineStr">
        <is>
          <t>High</t>
        </is>
      </c>
      <c r="Q97" s="3" t="inlineStr">
        <is>
          <t>*** GATING — unblocks every M2 task ***</t>
        </is>
      </c>
    </row>
    <row r="98">
      <c r="A98" s="3" t="inlineStr">
        <is>
          <t>T104</t>
        </is>
      </c>
      <c r="B98" s="3" t="inlineStr">
        <is>
          <t>M1</t>
        </is>
      </c>
      <c r="C98" s="3" t="inlineStr">
        <is>
          <t>Jenkins Migration: Foundation</t>
        </is>
      </c>
      <c r="D98" s="3" t="inlineStr">
        <is>
          <t>Stand up Jenkins sandbox + register absa-ci shared library</t>
        </is>
      </c>
      <c r="E98" s="3" t="inlineStr">
        <is>
          <t>EXL</t>
        </is>
      </c>
      <c r="F98" s="3" t="inlineStr">
        <is>
          <t>EXL</t>
        </is>
      </c>
      <c r="G98" s="3" t="inlineStr">
        <is>
          <t>Tech Lead</t>
        </is>
      </c>
      <c r="H98" s="4" t="inlineStr">
        <is>
          <t>Critical</t>
        </is>
      </c>
      <c r="I98" s="3" t="n">
        <v>5</v>
      </c>
      <c r="J98" s="5" t="n">
        <v>46184</v>
      </c>
      <c r="K98" s="5" t="n">
        <v>46187</v>
      </c>
      <c r="L98" s="3">
        <f>K98-J98+1</f>
        <v/>
      </c>
      <c r="M98" s="3" t="inlineStr">
        <is>
          <t>T103</t>
        </is>
      </c>
      <c r="N98" s="6" t="inlineStr">
        <is>
          <t>Not Started</t>
        </is>
      </c>
      <c r="O98" s="11" t="inlineStr">
        <is>
          <t>Blocked</t>
        </is>
      </c>
      <c r="P98" s="10" t="inlineStr">
        <is>
          <t>Medium</t>
        </is>
      </c>
      <c r="Q98" s="3" t="inlineStr">
        <is>
          <t>Sandbox proves library wiring before any real workflow flips</t>
        </is>
      </c>
    </row>
    <row r="99">
      <c r="A99" s="3" t="inlineStr">
        <is>
          <t>T105</t>
        </is>
      </c>
      <c r="B99" s="3" t="inlineStr">
        <is>
          <t>M1</t>
        </is>
      </c>
      <c r="C99" s="3" t="inlineStr">
        <is>
          <t>Jenkins Migration: Foundation</t>
        </is>
      </c>
      <c r="D99" s="3" t="inlineStr">
        <is>
          <t>Run python-validate.Jenkinsfile end-to-end in sandbox</t>
        </is>
      </c>
      <c r="E99" s="3" t="inlineStr">
        <is>
          <t>EXL</t>
        </is>
      </c>
      <c r="F99" s="3" t="inlineStr">
        <is>
          <t>EXL</t>
        </is>
      </c>
      <c r="G99" s="3" t="inlineStr">
        <is>
          <t>Tech Lead</t>
        </is>
      </c>
      <c r="H99" s="9" t="inlineStr">
        <is>
          <t>High</t>
        </is>
      </c>
      <c r="I99" s="3" t="n">
        <v>2</v>
      </c>
      <c r="J99" s="5" t="n">
        <v>46185</v>
      </c>
      <c r="K99" s="5" t="n">
        <v>46187</v>
      </c>
      <c r="L99" s="3">
        <f>K99-J99+1</f>
        <v/>
      </c>
      <c r="M99" s="3" t="inlineStr">
        <is>
          <t>T104</t>
        </is>
      </c>
      <c r="N99" s="6" t="inlineStr">
        <is>
          <t>Not Started</t>
        </is>
      </c>
      <c r="O99" s="11" t="inlineStr">
        <is>
          <t>Blocked</t>
        </is>
      </c>
      <c r="P99" s="10" t="inlineStr">
        <is>
          <t>Medium</t>
        </is>
      </c>
      <c r="Q99" s="3" t="inlineStr">
        <is>
          <t>Proving ground — confirms commit-status reporting works</t>
        </is>
      </c>
    </row>
    <row r="100">
      <c r="A100" s="3" t="inlineStr">
        <is>
          <t>T106</t>
        </is>
      </c>
      <c r="B100" s="3" t="inlineStr">
        <is>
          <t>M1</t>
        </is>
      </c>
      <c r="C100" s="3" t="inlineStr">
        <is>
          <t>Jenkins Migration: Foundation</t>
        </is>
      </c>
      <c r="D100" s="3" t="inlineStr">
        <is>
          <t>Stamp ADR-0011 Status: Accepted after sandbox proves out</t>
        </is>
      </c>
      <c r="E100" s="3" t="inlineStr">
        <is>
          <t>EXL</t>
        </is>
      </c>
      <c r="F100" s="3" t="inlineStr">
        <is>
          <t>EXL</t>
        </is>
      </c>
      <c r="G100" s="3" t="inlineStr">
        <is>
          <t>Tech Lead</t>
        </is>
      </c>
      <c r="H100" s="9" t="inlineStr">
        <is>
          <t>High</t>
        </is>
      </c>
      <c r="I100" s="3" t="n">
        <v>1</v>
      </c>
      <c r="J100" s="5" t="n">
        <v>46186</v>
      </c>
      <c r="K100" s="5" t="n">
        <v>46187</v>
      </c>
      <c r="L100" s="3">
        <f>K100-J100+1</f>
        <v/>
      </c>
      <c r="M100" s="3" t="inlineStr">
        <is>
          <t>T105</t>
        </is>
      </c>
      <c r="N100" s="6" t="inlineStr">
        <is>
          <t>Not Started</t>
        </is>
      </c>
      <c r="O100" s="11" t="inlineStr">
        <is>
          <t>Blocked</t>
        </is>
      </c>
      <c r="P100" s="8" t="inlineStr">
        <is>
          <t>Low</t>
        </is>
      </c>
      <c r="Q100" s="3" t="inlineStr"/>
    </row>
    <row r="101">
      <c r="A101" s="3" t="inlineStr">
        <is>
          <t>T107</t>
        </is>
      </c>
      <c r="B101" s="3" t="inlineStr">
        <is>
          <t>M2</t>
        </is>
      </c>
      <c r="C101" s="3" t="inlineStr">
        <is>
          <t>Jenkins Migration: AWS-touching</t>
        </is>
      </c>
      <c r="D101" s="3" t="inlineStr">
        <is>
          <t>signing-foundation Terraform: identity_provider variable</t>
        </is>
      </c>
      <c r="E101" s="3" t="inlineStr">
        <is>
          <t>EXL</t>
        </is>
      </c>
      <c r="F101" s="3" t="inlineStr">
        <is>
          <t>EXL</t>
        </is>
      </c>
      <c r="G101" s="3" t="inlineStr">
        <is>
          <t>Tech Lead</t>
        </is>
      </c>
      <c r="H101" s="4" t="inlineStr">
        <is>
          <t>Critical</t>
        </is>
      </c>
      <c r="I101" s="3" t="n">
        <v>3</v>
      </c>
      <c r="J101" s="5" t="n">
        <v>46188</v>
      </c>
      <c r="K101" s="5" t="n">
        <v>46191</v>
      </c>
      <c r="L101" s="3">
        <f>K101-J101+1</f>
        <v/>
      </c>
      <c r="M101" s="3" t="inlineStr">
        <is>
          <t>T103</t>
        </is>
      </c>
      <c r="N101" s="6" t="inlineStr">
        <is>
          <t>Not Started</t>
        </is>
      </c>
      <c r="O101" s="11" t="inlineStr">
        <is>
          <t>Blocked</t>
        </is>
      </c>
      <c r="P101" s="10" t="inlineStr">
        <is>
          <t>Medium</t>
        </is>
      </c>
      <c r="Q101" s="3" t="inlineStr">
        <is>
          <t>Trust both providers during cutover</t>
        </is>
      </c>
    </row>
    <row r="102">
      <c r="A102" s="3" t="inlineStr">
        <is>
          <t>T108</t>
        </is>
      </c>
      <c r="B102" s="3" t="inlineStr">
        <is>
          <t>M2</t>
        </is>
      </c>
      <c r="C102" s="3" t="inlineStr">
        <is>
          <t>Jenkins Migration: AWS-touching</t>
        </is>
      </c>
      <c r="D102" s="3" t="inlineStr">
        <is>
          <t>Apply signing-foundation update to exl-prod stack</t>
        </is>
      </c>
      <c r="E102" s="3" t="inlineStr">
        <is>
          <t>EXL</t>
        </is>
      </c>
      <c r="F102" s="3" t="inlineStr">
        <is>
          <t>EXL</t>
        </is>
      </c>
      <c r="G102" s="3" t="inlineStr">
        <is>
          <t>Tech Lead</t>
        </is>
      </c>
      <c r="H102" s="4" t="inlineStr">
        <is>
          <t>Critical</t>
        </is>
      </c>
      <c r="I102" s="3" t="n">
        <v>1</v>
      </c>
      <c r="J102" s="5" t="n">
        <v>46190</v>
      </c>
      <c r="K102" s="5" t="n">
        <v>46193</v>
      </c>
      <c r="L102" s="3">
        <f>K102-J102+1</f>
        <v/>
      </c>
      <c r="M102" s="3" t="inlineStr">
        <is>
          <t>T107</t>
        </is>
      </c>
      <c r="N102" s="6" t="inlineStr">
        <is>
          <t>Not Started</t>
        </is>
      </c>
      <c r="O102" s="11" t="inlineStr">
        <is>
          <t>Blocked</t>
        </is>
      </c>
      <c r="P102" s="10" t="inlineStr">
        <is>
          <t>Medium</t>
        </is>
      </c>
      <c r="Q102" s="3" t="inlineStr"/>
    </row>
    <row r="103">
      <c r="A103" s="3" t="inlineStr">
        <is>
          <t>T109</t>
        </is>
      </c>
      <c r="B103" s="3" t="inlineStr">
        <is>
          <t>M2</t>
        </is>
      </c>
      <c r="C103" s="3" t="inlineStr">
        <is>
          <t>Jenkins Migration: AWS-touching</t>
        </is>
      </c>
      <c r="D103" s="3" t="inlineStr">
        <is>
          <t>Port publish-signing-key.yml -&gt; Jenkinsfile</t>
        </is>
      </c>
      <c r="E103" s="3" t="inlineStr">
        <is>
          <t>EXL</t>
        </is>
      </c>
      <c r="F103" s="3" t="inlineStr">
        <is>
          <t>EXL</t>
        </is>
      </c>
      <c r="G103" s="3" t="inlineStr">
        <is>
          <t>Tech Lead</t>
        </is>
      </c>
      <c r="H103" s="9" t="inlineStr">
        <is>
          <t>High</t>
        </is>
      </c>
      <c r="I103" s="3" t="n">
        <v>2</v>
      </c>
      <c r="J103" s="5" t="n">
        <v>46193</v>
      </c>
      <c r="K103" s="5" t="n">
        <v>46196</v>
      </c>
      <c r="L103" s="3">
        <f>K103-J103+1</f>
        <v/>
      </c>
      <c r="M103" s="3" t="inlineStr">
        <is>
          <t>T108</t>
        </is>
      </c>
      <c r="N103" s="6" t="inlineStr">
        <is>
          <t>Not Started</t>
        </is>
      </c>
      <c r="O103" s="11" t="inlineStr">
        <is>
          <t>Blocked</t>
        </is>
      </c>
      <c r="P103" s="8" t="inlineStr">
        <is>
          <t>Low</t>
        </is>
      </c>
      <c r="Q103" s="3" t="inlineStr">
        <is>
          <t>Held in M1 — identity model decided here</t>
        </is>
      </c>
    </row>
    <row r="104">
      <c r="A104" s="3" t="inlineStr">
        <is>
          <t>T110</t>
        </is>
      </c>
      <c r="B104" s="3" t="inlineStr">
        <is>
          <t>M2</t>
        </is>
      </c>
      <c r="C104" s="3" t="inlineStr">
        <is>
          <t>Jenkins Migration: AWS-touching</t>
        </is>
      </c>
      <c r="D104" s="3" t="inlineStr">
        <is>
          <t>Validate pipeline-factory.Jenkinsfile against real AWS</t>
        </is>
      </c>
      <c r="E104" s="3" t="inlineStr">
        <is>
          <t>EXL</t>
        </is>
      </c>
      <c r="F104" s="3" t="inlineStr">
        <is>
          <t>EXL</t>
        </is>
      </c>
      <c r="G104" s="3" t="inlineStr">
        <is>
          <t>Tech Lead</t>
        </is>
      </c>
      <c r="H104" s="4" t="inlineStr">
        <is>
          <t>Critical</t>
        </is>
      </c>
      <c r="I104" s="3" t="n">
        <v>3</v>
      </c>
      <c r="J104" s="5" t="n">
        <v>46195</v>
      </c>
      <c r="K104" s="5" t="n">
        <v>46198</v>
      </c>
      <c r="L104" s="3">
        <f>K104-J104+1</f>
        <v/>
      </c>
      <c r="M104" s="3" t="inlineStr">
        <is>
          <t>T108</t>
        </is>
      </c>
      <c r="N104" s="6" t="inlineStr">
        <is>
          <t>Not Started</t>
        </is>
      </c>
      <c r="O104" s="11" t="inlineStr">
        <is>
          <t>Blocked</t>
        </is>
      </c>
      <c r="P104" s="11" t="inlineStr">
        <is>
          <t>High</t>
        </is>
      </c>
      <c r="Q104" s="3" t="inlineStr">
        <is>
          <t>Signature byte-equivalence GHA vs Jenkins</t>
        </is>
      </c>
    </row>
    <row r="105">
      <c r="A105" s="3" t="inlineStr">
        <is>
          <t>T111</t>
        </is>
      </c>
      <c r="B105" s="3" t="inlineStr">
        <is>
          <t>M2</t>
        </is>
      </c>
      <c r="C105" s="3" t="inlineStr">
        <is>
          <t>Jenkins Migration: AWS-touching</t>
        </is>
      </c>
      <c r="D105" s="3" t="inlineStr">
        <is>
          <t>Parallel-run GHA + Jenkins for 1 week</t>
        </is>
      </c>
      <c r="E105" s="3" t="inlineStr">
        <is>
          <t>EXL</t>
        </is>
      </c>
      <c r="F105" s="3" t="inlineStr">
        <is>
          <t>EXL</t>
        </is>
      </c>
      <c r="G105" s="3" t="inlineStr">
        <is>
          <t>Tech Lead</t>
        </is>
      </c>
      <c r="H105" s="9" t="inlineStr">
        <is>
          <t>High</t>
        </is>
      </c>
      <c r="I105" s="3" t="n">
        <v>5</v>
      </c>
      <c r="J105" s="5" t="n">
        <v>46198</v>
      </c>
      <c r="K105" s="5" t="n">
        <v>46201</v>
      </c>
      <c r="L105" s="3">
        <f>K105-J105+1</f>
        <v/>
      </c>
      <c r="M105" s="3" t="inlineStr">
        <is>
          <t>T110</t>
        </is>
      </c>
      <c r="N105" s="6" t="inlineStr">
        <is>
          <t>Not Started</t>
        </is>
      </c>
      <c r="O105" s="11" t="inlineStr">
        <is>
          <t>Blocked</t>
        </is>
      </c>
      <c r="P105" s="10" t="inlineStr">
        <is>
          <t>Medium</t>
        </is>
      </c>
      <c r="Q105" s="3" t="inlineStr">
        <is>
          <t>Compare digests, signatures, manifests byte-by-byte</t>
        </is>
      </c>
    </row>
    <row r="106">
      <c r="A106" s="3" t="inlineStr">
        <is>
          <t>T112</t>
        </is>
      </c>
      <c r="B106" s="3" t="inlineStr">
        <is>
          <t>M3</t>
        </is>
      </c>
      <c r="C106" s="3" t="inlineStr">
        <is>
          <t>Jenkins Migration: Cutover</t>
        </is>
      </c>
      <c r="D106" s="3" t="inlineStr">
        <is>
          <t>Flip GitHub branch protection to Jenkins commit statuses</t>
        </is>
      </c>
      <c r="E106" s="3" t="inlineStr">
        <is>
          <t>EXL</t>
        </is>
      </c>
      <c r="F106" s="3" t="inlineStr">
        <is>
          <t>EXL</t>
        </is>
      </c>
      <c r="G106" s="3" t="inlineStr">
        <is>
          <t>Tech Lead</t>
        </is>
      </c>
      <c r="H106" s="4" t="inlineStr">
        <is>
          <t>Critical</t>
        </is>
      </c>
      <c r="I106" s="3" t="n">
        <v>1</v>
      </c>
      <c r="J106" s="5" t="n">
        <v>46202</v>
      </c>
      <c r="K106" s="5" t="n">
        <v>46205</v>
      </c>
      <c r="L106" s="3">
        <f>K106-J106+1</f>
        <v/>
      </c>
      <c r="M106" s="3" t="inlineStr">
        <is>
          <t>T111</t>
        </is>
      </c>
      <c r="N106" s="6" t="inlineStr">
        <is>
          <t>Not Started</t>
        </is>
      </c>
      <c r="O106" s="11" t="inlineStr">
        <is>
          <t>Blocked</t>
        </is>
      </c>
      <c r="P106" s="11" t="inlineStr">
        <is>
          <t>High</t>
        </is>
      </c>
      <c r="Q106" s="3" t="inlineStr">
        <is>
          <t>One-way step; rollback = re-add GHA contexts</t>
        </is>
      </c>
    </row>
    <row r="107">
      <c r="A107" s="3" t="inlineStr">
        <is>
          <t>T113</t>
        </is>
      </c>
      <c r="B107" s="3" t="inlineStr">
        <is>
          <t>M3</t>
        </is>
      </c>
      <c r="C107" s="3" t="inlineStr">
        <is>
          <t>Jenkins Migration: Cutover</t>
        </is>
      </c>
      <c r="D107" s="3" t="inlineStr">
        <is>
          <t>Disable GHA workflows (.github/workflows/*.disabled.yml)</t>
        </is>
      </c>
      <c r="E107" s="3" t="inlineStr">
        <is>
          <t>EXL</t>
        </is>
      </c>
      <c r="F107" s="3" t="inlineStr">
        <is>
          <t>EXL</t>
        </is>
      </c>
      <c r="G107" s="3" t="inlineStr">
        <is>
          <t>Tech Lead</t>
        </is>
      </c>
      <c r="H107" s="9" t="inlineStr">
        <is>
          <t>High</t>
        </is>
      </c>
      <c r="I107" s="3" t="n">
        <v>1</v>
      </c>
      <c r="J107" s="5" t="n">
        <v>46203</v>
      </c>
      <c r="K107" s="5" t="n">
        <v>46206</v>
      </c>
      <c r="L107" s="3">
        <f>K107-J107+1</f>
        <v/>
      </c>
      <c r="M107" s="3" t="inlineStr">
        <is>
          <t>T112</t>
        </is>
      </c>
      <c r="N107" s="6" t="inlineStr">
        <is>
          <t>Not Started</t>
        </is>
      </c>
      <c r="O107" s="11" t="inlineStr">
        <is>
          <t>Blocked</t>
        </is>
      </c>
      <c r="P107" s="8" t="inlineStr">
        <is>
          <t>Low</t>
        </is>
      </c>
      <c r="Q107" s="3" t="inlineStr">
        <is>
          <t>Keep one release for rollback safety</t>
        </is>
      </c>
    </row>
    <row r="108">
      <c r="A108" s="3" t="inlineStr">
        <is>
          <t>T114</t>
        </is>
      </c>
      <c r="B108" s="3" t="inlineStr">
        <is>
          <t>M3</t>
        </is>
      </c>
      <c r="C108" s="3" t="inlineStr">
        <is>
          <t>Jenkins Migration: Cutover</t>
        </is>
      </c>
      <c r="D108" s="3" t="inlineStr">
        <is>
          <t>Sweep ADR-0003, ADR-0009, runbooks, technical-overview</t>
        </is>
      </c>
      <c r="E108" s="3" t="inlineStr">
        <is>
          <t>EXL</t>
        </is>
      </c>
      <c r="F108" s="3" t="inlineStr">
        <is>
          <t>EXL</t>
        </is>
      </c>
      <c r="G108" s="3" t="inlineStr">
        <is>
          <t>Tech Lead</t>
        </is>
      </c>
      <c r="H108" s="3" t="inlineStr">
        <is>
          <t>Medium</t>
        </is>
      </c>
      <c r="I108" s="3" t="n">
        <v>2</v>
      </c>
      <c r="J108" s="5" t="n">
        <v>46205</v>
      </c>
      <c r="K108" s="5" t="n">
        <v>46208</v>
      </c>
      <c r="L108" s="3">
        <f>K108-J108+1</f>
        <v/>
      </c>
      <c r="M108" s="3" t="inlineStr">
        <is>
          <t>T112</t>
        </is>
      </c>
      <c r="N108" s="6" t="inlineStr">
        <is>
          <t>Not Started</t>
        </is>
      </c>
      <c r="O108" s="11" t="inlineStr">
        <is>
          <t>Blocked</t>
        </is>
      </c>
      <c r="P108" s="8" t="inlineStr">
        <is>
          <t>Low</t>
        </is>
      </c>
      <c r="Q108" s="3" t="inlineStr">
        <is>
          <t>ADRs cross-referenced in M1; full sweep here</t>
        </is>
      </c>
    </row>
    <row r="109">
      <c r="A109" s="3" t="inlineStr">
        <is>
          <t>T115</t>
        </is>
      </c>
      <c r="B109" s="3" t="inlineStr">
        <is>
          <t>M3</t>
        </is>
      </c>
      <c r="C109" s="3" t="inlineStr">
        <is>
          <t>Jenkins Migration: Cutover</t>
        </is>
      </c>
      <c r="D109" s="3" t="inlineStr">
        <is>
          <t>Promote compliance matrix Phase 3 rows from Proposed -&gt; Live</t>
        </is>
      </c>
      <c r="E109" s="3" t="inlineStr">
        <is>
          <t>EXL</t>
        </is>
      </c>
      <c r="F109" s="3" t="inlineStr">
        <is>
          <t>EXL</t>
        </is>
      </c>
      <c r="G109" s="3" t="inlineStr">
        <is>
          <t>Compliance Lead</t>
        </is>
      </c>
      <c r="H109" s="9" t="inlineStr">
        <is>
          <t>High</t>
        </is>
      </c>
      <c r="I109" s="3" t="n">
        <v>1</v>
      </c>
      <c r="J109" s="5" t="n">
        <v>46206</v>
      </c>
      <c r="K109" s="5" t="n">
        <v>46208</v>
      </c>
      <c r="L109" s="3">
        <f>K109-J109+1</f>
        <v/>
      </c>
      <c r="M109" s="3" t="inlineStr">
        <is>
          <t>T112</t>
        </is>
      </c>
      <c r="N109" s="6" t="inlineStr">
        <is>
          <t>Not Started</t>
        </is>
      </c>
      <c r="O109" s="11" t="inlineStr">
        <is>
          <t>Blocked</t>
        </is>
      </c>
      <c r="P109" s="8" t="inlineStr">
        <is>
          <t>Low</t>
        </is>
      </c>
      <c r="Q109" s="3" t="inlineStr">
        <is>
          <t>Auditor evidence URLs point to Jenkins builds</t>
        </is>
      </c>
    </row>
  </sheetData>
  <autoFilter ref="A3:Q109"/>
  <mergeCells count="1">
    <mergeCell ref="A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6" customWidth="1" min="3" max="3"/>
    <col width="18" customWidth="1" min="4" max="4"/>
    <col width="18" customWidth="1" min="5" max="5"/>
    <col width="50" customWidth="1" min="6" max="6"/>
    <col width="50" customWidth="1" min="7" max="7"/>
  </cols>
  <sheetData>
    <row r="1" ht="24" customHeight="1">
      <c r="A1" s="1" t="inlineStr">
        <is>
          <t>Phase Summary</t>
        </is>
      </c>
    </row>
    <row r="3" ht="30" customHeight="1">
      <c r="A3" s="2" t="inlineStr">
        <is>
          <t>Phase</t>
        </is>
      </c>
      <c r="B3" s="2" t="inlineStr">
        <is>
          <t>Months</t>
        </is>
      </c>
      <c r="C3" s="2" t="inlineStr">
        <is>
          <t>Title</t>
        </is>
      </c>
      <c r="D3" s="2" t="inlineStr">
        <is>
          <t>Task count (formula)</t>
        </is>
      </c>
      <c r="E3" s="2" t="inlineStr">
        <is>
          <t>Effort total (formula)</t>
        </is>
      </c>
      <c r="F3" s="2" t="inlineStr">
        <is>
          <t>Critical milestones</t>
        </is>
      </c>
      <c r="G3" s="2" t="inlineStr">
        <is>
          <t>Status snapshot</t>
        </is>
      </c>
    </row>
    <row r="4">
      <c r="A4" s="3" t="inlineStr">
        <is>
          <t>P1</t>
        </is>
      </c>
      <c r="B4" s="3" t="inlineStr">
        <is>
          <t>M1</t>
        </is>
      </c>
      <c r="C4" s="3" t="inlineStr">
        <is>
          <t>Project Governance &amp; Scope</t>
        </is>
      </c>
      <c r="D4" s="3">
        <f>COUNTIF('Master Task List'!B:B,"P1")</f>
        <v/>
      </c>
      <c r="E4" s="3">
        <f>SUMIF('Master Task List'!B:B,"P1",'Master Task List'!I:I)</f>
        <v/>
      </c>
      <c r="F4" s="3" t="inlineStr">
        <is>
          <t>SPOCs identified · scope sign-off</t>
        </is>
      </c>
      <c r="G4" s="3">
        <f>COUNTIFS('Master Task List'!B:B,"P1",'Master Task List'!O:O,"Done")&amp;" Done · "&amp;COUNTIFS('Master Task List'!B:B,"P1",'Master Task List'!O:O,"Partial")&amp;" Partial · "&amp;COUNTIFS('Master Task List'!B:B,"P1",'Master Task List'!O:O,"Planned")&amp;" Planned · "&amp;COUNTIFS('Master Task List'!B:B,"P1",'Master Task List'!O:O,"Blocked")&amp;" Blocked"</f>
        <v/>
      </c>
    </row>
    <row r="5">
      <c r="A5" s="3" t="inlineStr">
        <is>
          <t>P2</t>
        </is>
      </c>
      <c r="B5" s="3" t="inlineStr">
        <is>
          <t>M1-2</t>
        </is>
      </c>
      <c r="C5" s="3" t="inlineStr">
        <is>
          <t>Architecture, Access &amp; Connectivity</t>
        </is>
      </c>
      <c r="D5" s="3">
        <f>COUNTIF('Master Task List'!B:B,"P2")</f>
        <v/>
      </c>
      <c r="E5" s="3">
        <f>SUMIF('Master Task List'!B:B,"P2",'Master Task List'!I:I)</f>
        <v/>
      </c>
      <c r="F5" s="3" t="inlineStr">
        <is>
          <t>ABSA architecture sign-off · IAM trust established</t>
        </is>
      </c>
      <c r="G5" s="3">
        <f>COUNTIFS('Master Task List'!B:B,"P2",'Master Task List'!O:O,"Done")&amp;" Done · "&amp;COUNTIFS('Master Task List'!B:B,"P2",'Master Task List'!O:O,"Partial")&amp;" Partial · "&amp;COUNTIFS('Master Task List'!B:B,"P2",'Master Task List'!O:O,"Planned")&amp;" Planned · "&amp;COUNTIFS('Master Task List'!B:B,"P2",'Master Task List'!O:O,"Blocked")&amp;" Blocked"</f>
        <v/>
      </c>
    </row>
    <row r="6">
      <c r="A6" s="3" t="inlineStr">
        <is>
          <t>P3</t>
        </is>
      </c>
      <c r="B6" s="3" t="inlineStr">
        <is>
          <t>M1-2</t>
        </is>
      </c>
      <c r="C6" s="3" t="inlineStr">
        <is>
          <t>Data &amp; Code Readiness</t>
        </is>
      </c>
      <c r="D6" s="3">
        <f>COUNTIF('Master Task List'!B:B,"P3")</f>
        <v/>
      </c>
      <c r="E6" s="3">
        <f>SUMIF('Master Task List'!B:B,"P3",'Master Task List'!I:I)</f>
        <v/>
      </c>
      <c r="F6" s="3" t="inlineStr">
        <is>
          <t>First model code + data + benchmarks in intake pipeline</t>
        </is>
      </c>
      <c r="G6" s="3">
        <f>COUNTIFS('Master Task List'!B:B,"P3",'Master Task List'!O:O,"Done")&amp;" Done · "&amp;COUNTIFS('Master Task List'!B:B,"P3",'Master Task List'!O:O,"Partial")&amp;" Partial · "&amp;COUNTIFS('Master Task List'!B:B,"P3",'Master Task List'!O:O,"Planned")&amp;" Planned · "&amp;COUNTIFS('Master Task List'!B:B,"P3",'Master Task List'!O:O,"Blocked")&amp;" Blocked"</f>
        <v/>
      </c>
    </row>
    <row r="7">
      <c r="A7" s="3" t="inlineStr">
        <is>
          <t>P4</t>
        </is>
      </c>
      <c r="B7" s="3" t="inlineStr">
        <is>
          <t>M2-3</t>
        </is>
      </c>
      <c r="C7" s="3" t="inlineStr">
        <is>
          <t>Platform Foundation Build</t>
        </is>
      </c>
      <c r="D7" s="3">
        <f>COUNTIF('Master Task List'!B:B,"P4")</f>
        <v/>
      </c>
      <c r="E7" s="3">
        <f>SUMIF('Master Task List'!B:B,"P4",'Master Task List'!I:I)</f>
        <v/>
      </c>
      <c r="F7" s="3" t="inlineStr">
        <is>
          <t>Real AWS accounts deployed via Terraform</t>
        </is>
      </c>
      <c r="G7" s="3">
        <f>COUNTIFS('Master Task List'!B:B,"P4",'Master Task List'!O:O,"Done")&amp;" Done · "&amp;COUNTIFS('Master Task List'!B:B,"P4",'Master Task List'!O:O,"Partial")&amp;" Partial · "&amp;COUNTIFS('Master Task List'!B:B,"P4",'Master Task List'!O:O,"Planned")&amp;" Planned · "&amp;COUNTIFS('Master Task List'!B:B,"P4",'Master Task List'!O:O,"Blocked")&amp;" Blocked"</f>
        <v/>
      </c>
    </row>
    <row r="8">
      <c r="A8" s="3" t="inlineStr">
        <is>
          <t>P5</t>
        </is>
      </c>
      <c r="B8" s="3" t="inlineStr">
        <is>
          <t>M2-6</t>
        </is>
      </c>
      <c r="C8" s="3" t="inlineStr">
        <is>
          <t>Controls, Security &amp; Change Mgmt</t>
        </is>
      </c>
      <c r="D8" s="3">
        <f>COUNTIF('Master Task List'!B:B,"P5")</f>
        <v/>
      </c>
      <c r="E8" s="3">
        <f>SUMIF('Master Task List'!B:B,"P5",'Master Task List'!I:I)</f>
        <v/>
      </c>
      <c r="F8" s="3" t="inlineStr">
        <is>
          <t>Cross-cutting; runs alongside Phases 4-8</t>
        </is>
      </c>
      <c r="G8" s="3">
        <f>COUNTIFS('Master Task List'!B:B,"P5",'Master Task List'!O:O,"Done")&amp;" Done · "&amp;COUNTIFS('Master Task List'!B:B,"P5",'Master Task List'!O:O,"Partial")&amp;" Partial · "&amp;COUNTIFS('Master Task List'!B:B,"P5",'Master Task List'!O:O,"Planned")&amp;" Planned · "&amp;COUNTIFS('Master Task List'!B:B,"P5",'Master Task List'!O:O,"Blocked")&amp;" Blocked"</f>
        <v/>
      </c>
    </row>
    <row r="9">
      <c r="A9" s="3" t="inlineStr">
        <is>
          <t>P6</t>
        </is>
      </c>
      <c r="B9" s="3" t="inlineStr">
        <is>
          <t>M3-4</t>
        </is>
      </c>
      <c r="C9" s="3" t="inlineStr">
        <is>
          <t>Code Optimization &amp; Pipeline Setup</t>
        </is>
      </c>
      <c r="D9" s="3">
        <f>COUNTIF('Master Task List'!B:B,"P6")</f>
        <v/>
      </c>
      <c r="E9" s="3">
        <f>SUMIF('Master Task List'!B:B,"P6",'Master Task List'!I:I)</f>
        <v/>
      </c>
      <c r="F9" s="3" t="inlineStr">
        <is>
          <t>Pipeline template registered for first model</t>
        </is>
      </c>
      <c r="G9" s="3">
        <f>COUNTIFS('Master Task List'!B:B,"P6",'Master Task List'!O:O,"Done")&amp;" Done · "&amp;COUNTIFS('Master Task List'!B:B,"P6",'Master Task List'!O:O,"Partial")&amp;" Partial · "&amp;COUNTIFS('Master Task List'!B:B,"P6",'Master Task List'!O:O,"Planned")&amp;" Planned · "&amp;COUNTIFS('Master Task List'!B:B,"P6",'Master Task List'!O:O,"Blocked")&amp;" Blocked"</f>
        <v/>
      </c>
    </row>
    <row r="10">
      <c r="A10" s="16" t="inlineStr">
        <is>
          <t>P7</t>
        </is>
      </c>
      <c r="B10" s="16" t="inlineStr">
        <is>
          <t>M4</t>
        </is>
      </c>
      <c r="C10" s="16" t="inlineStr">
        <is>
          <t>Group 1: First 2 Models</t>
        </is>
      </c>
      <c r="D10" s="16">
        <f>COUNTIF('Master Task List'!B:B,"P7")</f>
        <v/>
      </c>
      <c r="E10" s="16">
        <f>SUMIF('Master Task List'!B:B,"P7",'Master Task List'!I:I)</f>
        <v/>
      </c>
      <c r="F10" s="16" t="inlineStr">
        <is>
          <t>*** ABSA SIGN-OFF — BIGGEST MILESTONE ***</t>
        </is>
      </c>
      <c r="G10" s="16">
        <f>COUNTIFS('Master Task List'!B:B,"P7",'Master Task List'!O:O,"Done")&amp;" Done · "&amp;COUNTIFS('Master Task List'!B:B,"P7",'Master Task List'!O:O,"Partial")&amp;" Partial · "&amp;COUNTIFS('Master Task List'!B:B,"P7",'Master Task List'!O:O,"Planned")&amp;" Planned · "&amp;COUNTIFS('Master Task List'!B:B,"P7",'Master Task List'!O:O,"Blocked")&amp;" Blocked"</f>
        <v/>
      </c>
    </row>
    <row r="11">
      <c r="A11" s="3" t="inlineStr">
        <is>
          <t>P8a</t>
        </is>
      </c>
      <c r="B11" s="3" t="inlineStr">
        <is>
          <t>M5-6</t>
        </is>
      </c>
      <c r="C11" s="3" t="inlineStr">
        <is>
          <t>Group 2: Remaining 8 Models</t>
        </is>
      </c>
      <c r="D11" s="3">
        <f>COUNTIF('Master Task List'!B:B,"P8a")</f>
        <v/>
      </c>
      <c r="E11" s="3">
        <f>SUMIF('Master Task List'!B:B,"P8a",'Master Task List'!I:I)</f>
        <v/>
      </c>
      <c r="F11" s="3" t="inlineStr">
        <is>
          <t>All 10 models in production scoring</t>
        </is>
      </c>
      <c r="G11" s="3">
        <f>COUNTIFS('Master Task List'!B:B,"P8a",'Master Task List'!O:O,"Done")&amp;" Done · "&amp;COUNTIFS('Master Task List'!B:B,"P8a",'Master Task List'!O:O,"Partial")&amp;" Partial · "&amp;COUNTIFS('Master Task List'!B:B,"P8a",'Master Task List'!O:O,"Planned")&amp;" Planned · "&amp;COUNTIFS('Master Task List'!B:B,"P8a",'Master Task List'!O:O,"Blocked")&amp;" Blocked"</f>
        <v/>
      </c>
    </row>
    <row r="12">
      <c r="A12" s="3" t="inlineStr">
        <is>
          <t>P8b</t>
        </is>
      </c>
      <c r="B12" s="3" t="inlineStr">
        <is>
          <t>M5-6</t>
        </is>
      </c>
      <c r="C12" s="3" t="inlineStr">
        <is>
          <t>Dashboards &amp; Delivery Readiness</t>
        </is>
      </c>
      <c r="D12" s="3">
        <f>COUNTIF('Master Task List'!B:B,"P8b")</f>
        <v/>
      </c>
      <c r="E12" s="3">
        <f>SUMIF('Master Task List'!B:B,"P8b",'Master Task List'!I:I)</f>
        <v/>
      </c>
      <c r="F12" s="3" t="inlineStr">
        <is>
          <t>Dashboards live; runbooks published</t>
        </is>
      </c>
      <c r="G12" s="3">
        <f>COUNTIFS('Master Task List'!B:B,"P8b",'Master Task List'!O:O,"Done")&amp;" Done · "&amp;COUNTIFS('Master Task List'!B:B,"P8b",'Master Task List'!O:O,"Partial")&amp;" Partial · "&amp;COUNTIFS('Master Task List'!B:B,"P8b",'Master Task List'!O:O,"Planned")&amp;" Planned · "&amp;COUNTIFS('Master Task List'!B:B,"P8b",'Master Task List'!O:O,"Blocked")&amp;" Blocked"</f>
        <v/>
      </c>
    </row>
    <row r="13">
      <c r="A13" s="3" t="inlineStr">
        <is>
          <t>P9a</t>
        </is>
      </c>
      <c r="B13" s="3" t="inlineStr">
        <is>
          <t>M7+</t>
        </is>
      </c>
      <c r="C13" s="3" t="inlineStr">
        <is>
          <t>Steady State Support</t>
        </is>
      </c>
      <c r="D13" s="3">
        <f>COUNTIF('Master Task List'!B:B,"P9a")</f>
        <v/>
      </c>
      <c r="E13" s="3">
        <f>SUMIF('Master Task List'!B:B,"P9a",'Master Task List'!I:I)</f>
        <v/>
      </c>
      <c r="F13" s="3" t="inlineStr">
        <is>
          <t>Quarterly reviews; ongoing ops</t>
        </is>
      </c>
      <c r="G13" s="3">
        <f>COUNTIFS('Master Task List'!B:B,"P9a",'Master Task List'!O:O,"Done")&amp;" Done · "&amp;COUNTIFS('Master Task List'!B:B,"P9a",'Master Task List'!O:O,"Partial")&amp;" Partial · "&amp;COUNTIFS('Master Task List'!B:B,"P9a",'Master Task List'!O:O,"Planned")&amp;" Planned · "&amp;COUNTIFS('Master Task List'!B:B,"P9a",'Master Task List'!O:O,"Blocked")&amp;" Blocked"</f>
        <v/>
      </c>
    </row>
    <row r="14">
      <c r="A14" s="3" t="inlineStr">
        <is>
          <t>P9b</t>
        </is>
      </c>
      <c r="B14" s="3" t="inlineStr">
        <is>
          <t>M7+</t>
        </is>
      </c>
      <c r="C14" s="3" t="inlineStr">
        <is>
          <t>New Model Onboarding</t>
        </is>
      </c>
      <c r="D14" s="3">
        <f>COUNTIF('Master Task List'!B:B,"P9b")</f>
        <v/>
      </c>
      <c r="E14" s="3">
        <f>SUMIF('Master Task List'!B:B,"P9b",'Master Task List'!I:I)</f>
        <v/>
      </c>
      <c r="F14" s="3" t="inlineStr">
        <is>
          <t>Template-driven new model ramp</t>
        </is>
      </c>
      <c r="G14" s="3">
        <f>COUNTIFS('Master Task List'!B:B,"P9b",'Master Task List'!O:O,"Done")&amp;" Done · "&amp;COUNTIFS('Master Task List'!B:B,"P9b",'Master Task List'!O:O,"Partial")&amp;" Partial · "&amp;COUNTIFS('Master Task List'!B:B,"P9b",'Master Task List'!O:O,"Planned")&amp;" Planned · "&amp;COUNTIFS('Master Task List'!B:B,"P9b",'Master Task List'!O:O,"Blocked")&amp;" Blocked"</f>
        <v/>
      </c>
    </row>
    <row r="15">
      <c r="A15" s="3" t="inlineStr">
        <is>
          <t>M1</t>
        </is>
      </c>
      <c r="B15" s="3" t="inlineStr">
        <is>
          <t>Jun W2</t>
        </is>
      </c>
      <c r="C15" s="3" t="inlineStr">
        <is>
          <t>Jenkins Migration: Foundation</t>
        </is>
      </c>
      <c r="D15" s="3">
        <f>COUNTIF('Master Task List'!B:B,"M1")</f>
        <v/>
      </c>
      <c r="E15" s="3">
        <f>SUMIF('Master Task List'!B:B,"M1",'Master Task List'!I:I)</f>
        <v/>
      </c>
      <c r="F15" s="3" t="inlineStr">
        <is>
          <t>ADR-0011 accepted · sandbox proves library</t>
        </is>
      </c>
      <c r="G15" s="3">
        <f>COUNTIFS('Master Task List'!B:B,"M1",'Master Task List'!O:O,"Done")&amp;" Done · "&amp;COUNTIFS('Master Task List'!B:B,"M1",'Master Task List'!O:O,"Partial")&amp;" Partial · "&amp;COUNTIFS('Master Task List'!B:B,"M1",'Master Task List'!O:O,"Planned")&amp;" Planned · "&amp;COUNTIFS('Master Task List'!B:B,"M1",'Master Task List'!O:O,"Blocked")&amp;" Blocked"</f>
        <v/>
      </c>
    </row>
    <row r="16">
      <c r="A16" s="3" t="inlineStr">
        <is>
          <t>M2</t>
        </is>
      </c>
      <c r="B16" s="3" t="inlineStr">
        <is>
          <t>Jun W3-4</t>
        </is>
      </c>
      <c r="C16" s="3" t="inlineStr">
        <is>
          <t>Jenkins Migration: AWS-touching</t>
        </is>
      </c>
      <c r="D16" s="3">
        <f>COUNTIF('Master Task List'!B:B,"M2")</f>
        <v/>
      </c>
      <c r="E16" s="3">
        <f>SUMIF('Master Task List'!B:B,"M2",'Master Task List'!I:I)</f>
        <v/>
      </c>
      <c r="F16" s="3" t="inlineStr">
        <is>
          <t>signing-foundation supports both providers · parallel run</t>
        </is>
      </c>
      <c r="G16" s="3">
        <f>COUNTIFS('Master Task List'!B:B,"M2",'Master Task List'!O:O,"Done")&amp;" Done · "&amp;COUNTIFS('Master Task List'!B:B,"M2",'Master Task List'!O:O,"Partial")&amp;" Partial · "&amp;COUNTIFS('Master Task List'!B:B,"M2",'Master Task List'!O:O,"Planned")&amp;" Planned · "&amp;COUNTIFS('Master Task List'!B:B,"M2",'Master Task List'!O:O,"Blocked")&amp;" Blocked"</f>
        <v/>
      </c>
    </row>
    <row r="17">
      <c r="A17" s="3" t="inlineStr">
        <is>
          <t>M3</t>
        </is>
      </c>
      <c r="B17" s="3" t="inlineStr">
        <is>
          <t>Jul W1</t>
        </is>
      </c>
      <c r="C17" s="3" t="inlineStr">
        <is>
          <t>Jenkins Migration: Cutover</t>
        </is>
      </c>
      <c r="D17" s="3">
        <f>COUNTIF('Master Task List'!B:B,"M3")</f>
        <v/>
      </c>
      <c r="E17" s="3">
        <f>SUMIF('Master Task List'!B:B,"M3",'Master Task List'!I:I)</f>
        <v/>
      </c>
      <c r="F17" s="3" t="inlineStr">
        <is>
          <t>Branch protection flipped · GHA retired</t>
        </is>
      </c>
      <c r="G17" s="3">
        <f>COUNTIFS('Master Task List'!B:B,"M3",'Master Task List'!O:O,"Done")&amp;" Done · "&amp;COUNTIFS('Master Task List'!B:B,"M3",'Master Task List'!O:O,"Partial")&amp;" Partial · "&amp;COUNTIFS('Master Task List'!B:B,"M3",'Master Task List'!O:O,"Planned")&amp;" Planned · "&amp;COUNTIFS('Master Task List'!B:B,"M3",'Master Task List'!O:O,"Blocked")&amp;" Blocked"</f>
        <v/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3" customWidth="1" min="3" max="3"/>
    <col width="22" customWidth="1" min="4" max="4"/>
    <col width="14" customWidth="1" min="5" max="5"/>
    <col width="50" customWidth="1" min="6" max="6"/>
  </cols>
  <sheetData>
    <row r="1" ht="24" customHeight="1">
      <c r="A1" s="1" t="inlineStr">
        <is>
          <t>Milestones &amp; Gates</t>
        </is>
      </c>
    </row>
    <row r="3" ht="30" customHeight="1">
      <c r="A3" s="2" t="inlineStr">
        <is>
          <t>Milestone ID</t>
        </is>
      </c>
      <c r="B3" s="2" t="inlineStr">
        <is>
          <t>Description</t>
        </is>
      </c>
      <c r="C3" s="2" t="inlineStr">
        <is>
          <t>Target Date</t>
        </is>
      </c>
      <c r="D3" s="2" t="inlineStr">
        <is>
          <t>Owner</t>
        </is>
      </c>
      <c r="E3" s="2" t="inlineStr">
        <is>
          <t>Status</t>
        </is>
      </c>
      <c r="F3" s="2" t="inlineStr">
        <is>
          <t>Gate Criteria</t>
        </is>
      </c>
    </row>
    <row r="4">
      <c r="A4" s="3" t="inlineStr">
        <is>
          <t>M01</t>
        </is>
      </c>
      <c r="B4" s="3" t="inlineStr">
        <is>
          <t>Project kickoff complete + SPOCs identified</t>
        </is>
      </c>
      <c r="C4" s="5" t="n">
        <v>46037</v>
      </c>
      <c r="D4" s="3" t="inlineStr">
        <is>
          <t>Program Mgr</t>
        </is>
      </c>
      <c r="E4" s="6" t="inlineStr">
        <is>
          <t>Not Started</t>
        </is>
      </c>
      <c r="F4" s="3" t="inlineStr">
        <is>
          <t>Signed kickoff minutes; SPOC names on file</t>
        </is>
      </c>
    </row>
    <row r="5">
      <c r="A5" s="3" t="inlineStr">
        <is>
          <t>M02</t>
        </is>
      </c>
      <c r="B5" s="3" t="inlineStr">
        <is>
          <t>Scope + 10-model delivery plan signed off</t>
        </is>
      </c>
      <c r="C5" s="5" t="n">
        <v>46053</v>
      </c>
      <c r="D5" s="3" t="inlineStr">
        <is>
          <t>Steering Committee</t>
        </is>
      </c>
      <c r="E5" s="6" t="inlineStr">
        <is>
          <t>Not Started</t>
        </is>
      </c>
      <c r="F5" s="3" t="inlineStr">
        <is>
          <t>Scope doc approved; sequencing locked</t>
        </is>
      </c>
    </row>
    <row r="6">
      <c r="A6" s="3" t="inlineStr">
        <is>
          <t>M03</t>
        </is>
      </c>
      <c r="B6" s="3" t="inlineStr">
        <is>
          <t>Architecture sign-off from ABSA</t>
        </is>
      </c>
      <c r="C6" s="5" t="n">
        <v>46068</v>
      </c>
      <c r="D6" s="3" t="inlineStr">
        <is>
          <t>ABSA Architect</t>
        </is>
      </c>
      <c r="E6" s="11" t="inlineStr">
        <is>
          <t>Blocked</t>
        </is>
      </c>
      <c r="F6" s="3" t="inlineStr">
        <is>
          <t>Architecture review board minutes + decision log</t>
        </is>
      </c>
    </row>
    <row r="7">
      <c r="A7" s="3" t="inlineStr">
        <is>
          <t>M04</t>
        </is>
      </c>
      <c r="B7" s="3" t="inlineStr">
        <is>
          <t>EXL AWS landing zone live + IAM trust established</t>
        </is>
      </c>
      <c r="C7" s="5" t="n">
        <v>46081</v>
      </c>
      <c r="D7" s="3" t="inlineStr">
        <is>
          <t>EXL Cloud Eng</t>
        </is>
      </c>
      <c r="E7" s="10" t="inlineStr">
        <is>
          <t>Partial</t>
        </is>
      </c>
      <c r="F7" s="3" t="inlineStr">
        <is>
          <t>Real account IDs provisioned; cross-account roles verifiable</t>
        </is>
      </c>
    </row>
    <row r="8">
      <c r="A8" s="3" t="inlineStr">
        <is>
          <t>M05</t>
        </is>
      </c>
      <c r="B8" s="3" t="inlineStr">
        <is>
          <t>First ABSA package transferred + validated</t>
        </is>
      </c>
      <c r="C8" s="5" t="n">
        <v>46081</v>
      </c>
      <c r="D8" s="3" t="inlineStr">
        <is>
          <t>Tech Lead</t>
        </is>
      </c>
      <c r="E8" s="11" t="inlineStr">
        <is>
          <t>Blocked</t>
        </is>
      </c>
      <c r="F8" s="3" t="inlineStr">
        <is>
          <t>code-intake validate exits 0; manifest signed</t>
        </is>
      </c>
    </row>
    <row r="9">
      <c r="A9" s="3" t="inlineStr">
        <is>
          <t>M06</t>
        </is>
      </c>
      <c r="B9" s="3" t="inlineStr">
        <is>
          <t>Platform foundation built + security control sign-off</t>
        </is>
      </c>
      <c r="C9" s="5" t="n">
        <v>46112</v>
      </c>
      <c r="D9" s="3" t="inlineStr">
        <is>
          <t>Tech Lead</t>
        </is>
      </c>
      <c r="E9" s="10" t="inlineStr">
        <is>
          <t>Partial</t>
        </is>
      </c>
      <c r="F9" s="3" t="inlineStr">
        <is>
          <t>Control matrix evidence + readiness review</t>
        </is>
      </c>
    </row>
    <row r="10">
      <c r="A10" s="3" t="inlineStr">
        <is>
          <t>M07</t>
        </is>
      </c>
      <c r="B10" s="3" t="inlineStr">
        <is>
          <t>Code optimization complete + pipeline templates live</t>
        </is>
      </c>
      <c r="C10" s="5" t="n">
        <v>46127</v>
      </c>
      <c r="D10" s="3" t="inlineStr">
        <is>
          <t>Tech Lead</t>
        </is>
      </c>
      <c r="E10" s="7" t="inlineStr">
        <is>
          <t>Planned</t>
        </is>
      </c>
      <c r="F10" s="3" t="inlineStr">
        <is>
          <t>Pipeline template registered for first model type</t>
        </is>
      </c>
    </row>
    <row r="11">
      <c r="A11" s="16" t="inlineStr">
        <is>
          <t>M08</t>
        </is>
      </c>
      <c r="B11" s="16" t="inlineStr">
        <is>
          <t>*** GROUP 1 SIGN-OFF (2 MODELS) ***</t>
        </is>
      </c>
      <c r="C11" s="19" t="n">
        <v>46142</v>
      </c>
      <c r="D11" s="16" t="inlineStr">
        <is>
          <t>ABSA Risk Owner</t>
        </is>
      </c>
      <c r="E11" s="16" t="inlineStr">
        <is>
          <t>Blocked</t>
        </is>
      </c>
      <c r="F11" s="16" t="inlineStr">
        <is>
          <t>PIR complete; benchmark reconciliation passes</t>
        </is>
      </c>
    </row>
    <row r="12">
      <c r="A12" s="16" t="inlineStr">
        <is>
          <t>M09</t>
        </is>
      </c>
      <c r="B12" s="16" t="inlineStr">
        <is>
          <t>*** GROUP 2 SIGN-OFF (REMAINING 8 MODELS) ***</t>
        </is>
      </c>
      <c r="C12" s="19" t="n">
        <v>46203</v>
      </c>
      <c r="D12" s="16" t="inlineStr">
        <is>
          <t>ABSA Risk Owner</t>
        </is>
      </c>
      <c r="E12" s="16" t="inlineStr">
        <is>
          <t>Planned</t>
        </is>
      </c>
      <c r="F12" s="16" t="inlineStr">
        <is>
          <t>All 10 models reconciled; PIR sign-off</t>
        </is>
      </c>
    </row>
    <row r="13">
      <c r="A13" s="3" t="inlineStr">
        <is>
          <t>M10</t>
        </is>
      </c>
      <c r="B13" s="3" t="inlineStr">
        <is>
          <t>Dashboards + delivery handover published</t>
        </is>
      </c>
      <c r="C13" s="5" t="n">
        <v>46203</v>
      </c>
      <c r="D13" s="3" t="inlineStr">
        <is>
          <t>Program Mgr</t>
        </is>
      </c>
      <c r="E13" s="7" t="inlineStr">
        <is>
          <t>Planned</t>
        </is>
      </c>
      <c r="F13" s="3" t="inlineStr">
        <is>
          <t>Runbooks published; support contacts confirmed</t>
        </is>
      </c>
    </row>
    <row r="14">
      <c r="A14" s="3" t="inlineStr">
        <is>
          <t>M11</t>
        </is>
      </c>
      <c r="B14" s="3" t="inlineStr">
        <is>
          <t>Steady-state go-live</t>
        </is>
      </c>
      <c r="C14" s="5" t="n">
        <v>46204</v>
      </c>
      <c r="D14" s="3" t="inlineStr">
        <is>
          <t>Program Mgr</t>
        </is>
      </c>
      <c r="E14" s="7" t="inlineStr">
        <is>
          <t>Planned</t>
        </is>
      </c>
      <c r="F14" s="3" t="inlineStr">
        <is>
          <t>First quarterly review scheduled; ops contacts staffed</t>
        </is>
      </c>
    </row>
    <row r="15">
      <c r="A15" s="3" t="inlineStr">
        <is>
          <t>M12</t>
        </is>
      </c>
      <c r="B15" s="3" t="inlineStr">
        <is>
          <t>Jenkins identity model confirmed (IRSA vs instance)</t>
        </is>
      </c>
      <c r="C15" s="5" t="n">
        <v>46187</v>
      </c>
      <c r="D15" s="3" t="inlineStr">
        <is>
          <t>ABSA Cloud Platform</t>
        </is>
      </c>
      <c r="E15" s="11" t="inlineStr">
        <is>
          <t>Blocked</t>
        </is>
      </c>
      <c r="F15" s="3" t="inlineStr">
        <is>
          <t>*** Gates entire Sprint M2 of Jenkins migration ***</t>
        </is>
      </c>
    </row>
    <row r="16">
      <c r="A16" s="3" t="inlineStr">
        <is>
          <t>M13</t>
        </is>
      </c>
      <c r="B16" s="3" t="inlineStr">
        <is>
          <t>GHA retired; Jenkins is the sole CI gate</t>
        </is>
      </c>
      <c r="C16" s="5" t="n">
        <v>46208</v>
      </c>
      <c r="D16" s="3" t="inlineStr">
        <is>
          <t>EXL DevOps</t>
        </is>
      </c>
      <c r="E16" s="7" t="inlineStr">
        <is>
          <t>Planned</t>
        </is>
      </c>
      <c r="F16" s="3" t="inlineStr">
        <is>
          <t>Branch protection flipped; .disabled.yml retained 1 release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9" customWidth="1" min="3" max="3"/>
    <col width="13" customWidth="1" min="4" max="4"/>
    <col width="12" customWidth="1" min="5" max="5"/>
    <col width="13" customWidth="1" min="6" max="6"/>
    <col width="60" customWidth="1" min="7" max="7"/>
    <col width="22" customWidth="1" min="8" max="8"/>
  </cols>
  <sheetData>
    <row r="1" ht="24" customHeight="1">
      <c r="A1" s="1" t="inlineStr">
        <is>
          <t>Risk Register</t>
        </is>
      </c>
    </row>
    <row r="3" ht="30" customHeight="1">
      <c r="A3" s="2" t="inlineStr">
        <is>
          <t>Risk ID</t>
        </is>
      </c>
      <c r="B3" s="2" t="inlineStr">
        <is>
          <t>Description</t>
        </is>
      </c>
      <c r="C3" s="2" t="inlineStr">
        <is>
          <t>Phase</t>
        </is>
      </c>
      <c r="D3" s="2" t="inlineStr">
        <is>
          <t>Probability (1-5)</t>
        </is>
      </c>
      <c r="E3" s="2" t="inlineStr">
        <is>
          <t>Impact (1-5)</t>
        </is>
      </c>
      <c r="F3" s="2" t="inlineStr">
        <is>
          <t>Score (P*I)</t>
        </is>
      </c>
      <c r="G3" s="2" t="inlineStr">
        <is>
          <t>Mitigation</t>
        </is>
      </c>
      <c r="H3" s="2" t="inlineStr">
        <is>
          <t>Owner</t>
        </is>
      </c>
    </row>
    <row r="4">
      <c r="A4" s="3" t="inlineStr">
        <is>
          <t>R01</t>
        </is>
      </c>
      <c r="B4" s="3" t="inlineStr">
        <is>
          <t>ABSA account onboarding (real AWS account IDs + IAM principals) delayed</t>
        </is>
      </c>
      <c r="C4" s="3" t="inlineStr">
        <is>
          <t>P2/P4</t>
        </is>
      </c>
      <c r="D4" s="3" t="n">
        <v>4</v>
      </c>
      <c r="E4" s="3" t="n">
        <v>5</v>
      </c>
      <c r="F4" s="20">
        <f>D4*E4</f>
        <v/>
      </c>
      <c r="G4" s="3" t="inlineStr">
        <is>
          <t>Pre-stage Terraform + use LocalStack demo to keep CI green; escalate to Steering by end of Month 1</t>
        </is>
      </c>
      <c r="H4" s="3" t="inlineStr">
        <is>
          <t>ABSA Architect</t>
        </is>
      </c>
    </row>
    <row r="5">
      <c r="A5" s="3" t="inlineStr">
        <is>
          <t>R02</t>
        </is>
      </c>
      <c r="B5" s="3" t="inlineStr">
        <is>
          <t>ABSA-side internal cloud approvals slip past Month 2</t>
        </is>
      </c>
      <c r="C5" s="3" t="inlineStr">
        <is>
          <t>P2</t>
        </is>
      </c>
      <c r="D5" s="3" t="n">
        <v>3</v>
      </c>
      <c r="E5" s="3" t="n">
        <v>5</v>
      </c>
      <c r="F5" s="20">
        <f>D5*E5</f>
        <v/>
      </c>
      <c r="G5" s="3" t="inlineStr">
        <is>
          <t>Start approval process before kickoff; weekly check-in with ABSA cloud team</t>
        </is>
      </c>
      <c r="H5" s="3" t="inlineStr">
        <is>
          <t>ABSA Architect</t>
        </is>
      </c>
    </row>
    <row r="6">
      <c r="A6" s="3" t="inlineStr">
        <is>
          <t>R03</t>
        </is>
      </c>
      <c r="B6" s="3" t="inlineStr">
        <is>
          <t>Group 1 sign-off (Month 4) slips, cascading into Group 2 and steady state</t>
        </is>
      </c>
      <c r="C6" s="3" t="inlineStr">
        <is>
          <t>P7</t>
        </is>
      </c>
      <c r="D6" s="3" t="n">
        <v>3</v>
      </c>
      <c r="E6" s="3" t="n">
        <v>5</v>
      </c>
      <c r="F6" s="20">
        <f>D6*E6</f>
        <v/>
      </c>
      <c r="G6" s="3" t="inlineStr">
        <is>
          <t>Use Group 1 onboarding plan as dress rehearsal; pre-stage Group 2 templates</t>
        </is>
      </c>
      <c r="H6" s="3" t="inlineStr">
        <is>
          <t>ABSA Risk Owner</t>
        </is>
      </c>
    </row>
    <row r="7">
      <c r="A7" s="3" t="inlineStr">
        <is>
          <t>R04</t>
        </is>
      </c>
      <c r="B7" s="3" t="inlineStr">
        <is>
          <t>ML compute platform choice (SFN+Lambda vs SageMaker) blocks Phase 4 build</t>
        </is>
      </c>
      <c r="C7" s="3" t="inlineStr">
        <is>
          <t>P4</t>
        </is>
      </c>
      <c r="D7" s="3" t="n">
        <v>3</v>
      </c>
      <c r="E7" s="3" t="n">
        <v>4</v>
      </c>
      <c r="F7" s="21">
        <f>D7*E7</f>
        <v/>
      </c>
      <c r="G7" s="3" t="inlineStr">
        <is>
          <t>Decision required by end of Month 2; architecture review board agenda item</t>
        </is>
      </c>
      <c r="H7" s="3" t="inlineStr">
        <is>
          <t>Tech Lead</t>
        </is>
      </c>
    </row>
    <row r="8">
      <c r="A8" s="3" t="inlineStr">
        <is>
          <t>R05</t>
        </is>
      </c>
      <c r="B8" s="3" t="inlineStr">
        <is>
          <t>Benchmark reconciliation discrepancies require model code rewrite</t>
        </is>
      </c>
      <c r="C8" s="3" t="inlineStr">
        <is>
          <t>P6/P7</t>
        </is>
      </c>
      <c r="D8" s="3" t="n">
        <v>3</v>
      </c>
      <c r="E8" s="3" t="n">
        <v>4</v>
      </c>
      <c r="F8" s="21">
        <f>D8*E8</f>
        <v/>
      </c>
      <c r="G8" s="3" t="inlineStr">
        <is>
          <t>Validate scoring logic incrementally during code optimization; record per-feature deltas</t>
        </is>
      </c>
      <c r="H8" s="3" t="inlineStr">
        <is>
          <t>EXL ML Eng</t>
        </is>
      </c>
    </row>
    <row r="9">
      <c r="A9" s="3" t="inlineStr">
        <is>
          <t>R06</t>
        </is>
      </c>
      <c r="B9" s="3" t="inlineStr">
        <is>
          <t>Cross-account encrypted transfer path not validated end-to-end before Phase 4</t>
        </is>
      </c>
      <c r="C9" s="3" t="inlineStr">
        <is>
          <t>P2</t>
        </is>
      </c>
      <c r="D9" s="3" t="n">
        <v>2</v>
      </c>
      <c r="E9" s="3" t="n">
        <v>4</v>
      </c>
      <c r="F9" s="21">
        <f>D9*E9</f>
        <v/>
      </c>
      <c r="G9" s="3" t="inlineStr">
        <is>
          <t>Phase-gate Phase 4 on Phase 2 transfer validation; LocalStack demo verifies the shape today</t>
        </is>
      </c>
      <c r="H9" s="3" t="inlineStr">
        <is>
          <t>EXL Cloud Eng</t>
        </is>
      </c>
    </row>
    <row r="10">
      <c r="A10" s="3" t="inlineStr">
        <is>
          <t>R07</t>
        </is>
      </c>
      <c r="B10" s="3" t="inlineStr">
        <is>
          <t>SSO federation testing reveals incompatible identity provider config</t>
        </is>
      </c>
      <c r="C10" s="3" t="inlineStr">
        <is>
          <t>P2</t>
        </is>
      </c>
      <c r="D10" s="3" t="n">
        <v>2</v>
      </c>
      <c r="E10" s="3" t="n">
        <v>3</v>
      </c>
      <c r="F10" s="8">
        <f>D10*E10</f>
        <v/>
      </c>
      <c r="G10" s="3" t="inlineStr">
        <is>
          <t>Joint test in Month 2; fall back to direct IAM if SSO blocks</t>
        </is>
      </c>
      <c r="H10" s="3" t="inlineStr">
        <is>
          <t>EXL Cloud Eng</t>
        </is>
      </c>
    </row>
    <row r="11">
      <c r="A11" s="3" t="inlineStr">
        <is>
          <t>R08</t>
        </is>
      </c>
      <c r="B11" s="3" t="inlineStr">
        <is>
          <t>Data quality issues (drift, schema mismatch) in initial intake delay code optimization</t>
        </is>
      </c>
      <c r="C11" s="3" t="inlineStr">
        <is>
          <t>P3/P6</t>
        </is>
      </c>
      <c r="D11" s="3" t="n">
        <v>3</v>
      </c>
      <c r="E11" s="3" t="n">
        <v>4</v>
      </c>
      <c r="F11" s="21">
        <f>D11*E11</f>
        <v/>
      </c>
      <c r="G11" s="3" t="inlineStr">
        <is>
          <t>Run code-intake validate on first arrival; reject + return to ABSA immediately</t>
        </is>
      </c>
      <c r="H11" s="3" t="inlineStr">
        <is>
          <t>EXL Eng</t>
        </is>
      </c>
    </row>
    <row r="12">
      <c r="A12" s="3" t="inlineStr">
        <is>
          <t>R09</t>
        </is>
      </c>
      <c r="B12" s="3" t="inlineStr">
        <is>
          <t>PIR review reveals input variable misalignment, requires re-scope</t>
        </is>
      </c>
      <c r="C12" s="3" t="inlineStr">
        <is>
          <t>P7</t>
        </is>
      </c>
      <c r="D12" s="3" t="n">
        <v>2</v>
      </c>
      <c r="E12" s="3" t="n">
        <v>5</v>
      </c>
      <c r="F12" s="21">
        <f>D12*E12</f>
        <v/>
      </c>
      <c r="G12" s="3" t="inlineStr">
        <is>
          <t>Lock input variables in Phase 1; PIR rehearsal during Group 1</t>
        </is>
      </c>
      <c r="H12" s="3" t="inlineStr">
        <is>
          <t>ABSA Risk Owner</t>
        </is>
      </c>
    </row>
    <row r="13">
      <c r="A13" s="3" t="inlineStr">
        <is>
          <t>R10</t>
        </is>
      </c>
      <c r="B13" s="3" t="inlineStr">
        <is>
          <t>Production scoring SLA cannot be met on selected ML compute platform</t>
        </is>
      </c>
      <c r="C13" s="3" t="inlineStr">
        <is>
          <t>P9a</t>
        </is>
      </c>
      <c r="D13" s="3" t="n">
        <v>2</v>
      </c>
      <c r="E13" s="3" t="n">
        <v>4</v>
      </c>
      <c r="F13" s="21">
        <f>D13*E13</f>
        <v/>
      </c>
      <c r="G13" s="3" t="inlineStr">
        <is>
          <t>Load-test in Phase 7 before Group 1 go-live</t>
        </is>
      </c>
      <c r="H13" s="3" t="inlineStr">
        <is>
          <t>EXL ML Eng</t>
        </is>
      </c>
    </row>
    <row r="14">
      <c r="A14" s="3" t="inlineStr">
        <is>
          <t>R11</t>
        </is>
      </c>
      <c r="B14" s="3" t="inlineStr">
        <is>
          <t>KMS signing key compromise during operations</t>
        </is>
      </c>
      <c r="C14" s="3" t="inlineStr">
        <is>
          <t>P9a</t>
        </is>
      </c>
      <c r="D14" s="3" t="n">
        <v>1</v>
      </c>
      <c r="E14" s="3" t="n">
        <v>5</v>
      </c>
      <c r="F14" s="8">
        <f>D14*E14</f>
        <v/>
      </c>
      <c r="G14" s="3" t="inlineStr">
        <is>
          <t>Rotation runbook (docs/runbooks/kms-key-rotation.md) in place; quarterly drill</t>
        </is>
      </c>
      <c r="H14" s="3" t="inlineStr">
        <is>
          <t>Compliance Lead</t>
        </is>
      </c>
    </row>
    <row r="15">
      <c r="A15" s="3" t="inlineStr">
        <is>
          <t>R12</t>
        </is>
      </c>
      <c r="B15" s="3" t="inlineStr">
        <is>
          <t>Change management workflow not finalized before first production change</t>
        </is>
      </c>
      <c r="C15" s="3" t="inlineStr">
        <is>
          <t>P5</t>
        </is>
      </c>
      <c r="D15" s="3" t="n">
        <v>2</v>
      </c>
      <c r="E15" s="3" t="n">
        <v>4</v>
      </c>
      <c r="F15" s="21">
        <f>D15*E15</f>
        <v/>
      </c>
      <c r="G15" s="3" t="inlineStr">
        <is>
          <t>Use registry-api approval state machine as baseline; document workflow by Month 3</t>
        </is>
      </c>
      <c r="H15" s="3" t="inlineStr">
        <is>
          <t>Compliance Lead</t>
        </is>
      </c>
    </row>
    <row r="16">
      <c r="A16" s="3" t="inlineStr">
        <is>
          <t>R13</t>
        </is>
      </c>
      <c r="B16" s="3" t="inlineStr">
        <is>
          <t>ABSA does not run Jenkins on EKS — IRSA path closed, fall back to EC2 instance profile</t>
        </is>
      </c>
      <c r="C16" s="3" t="inlineStr">
        <is>
          <t>M1</t>
        </is>
      </c>
      <c r="D16" s="3" t="n">
        <v>3</v>
      </c>
      <c r="E16" s="3" t="n">
        <v>3</v>
      </c>
      <c r="F16" s="21">
        <f>D16*E16</f>
        <v/>
      </c>
      <c r="G16" s="3" t="inlineStr">
        <is>
          <t>ADR-0011 already documents the EC2 fallback path; awsLogin step handles both modes; identified as a known fallback rather than a blocker</t>
        </is>
      </c>
      <c r="H16" s="3" t="inlineStr">
        <is>
          <t>Tech Lead</t>
        </is>
      </c>
    </row>
    <row r="17">
      <c r="A17" s="3" t="inlineStr">
        <is>
          <t>R14</t>
        </is>
      </c>
      <c r="B17" s="3" t="inlineStr">
        <is>
          <t>Jenkins shared library Groovy has runtime bugs that only surface against a real Jenkins instance</t>
        </is>
      </c>
      <c r="C17" s="3" t="inlineStr">
        <is>
          <t>M1</t>
        </is>
      </c>
      <c r="D17" s="3" t="n">
        <v>3</v>
      </c>
      <c r="E17" s="3" t="n">
        <v>3</v>
      </c>
      <c r="F17" s="21">
        <f>D17*E17</f>
        <v/>
      </c>
      <c r="G17" s="3" t="inlineStr">
        <is>
          <t>Sprint M1 sandbox proves library before Sprint M2 starts; 5 example Jenkinsfiles share the same shared-library surface so bugs fail consistently</t>
        </is>
      </c>
      <c r="H17" s="3" t="inlineStr">
        <is>
          <t>EXL DevOps</t>
        </is>
      </c>
    </row>
    <row r="18">
      <c r="A18" s="3" t="inlineStr">
        <is>
          <t>R15</t>
        </is>
      </c>
      <c r="B18" s="3" t="inlineStr">
        <is>
          <t>Signature byte-equivalence fails between GHA and Jenkins runs (canonical_json sensitivity to env)</t>
        </is>
      </c>
      <c r="C18" s="3" t="inlineStr">
        <is>
          <t>M2</t>
        </is>
      </c>
      <c r="D18" s="3" t="n">
        <v>2</v>
      </c>
      <c r="E18" s="3" t="n">
        <v>5</v>
      </c>
      <c r="F18" s="21">
        <f>D18*E18</f>
        <v/>
      </c>
      <c r="G18" s="3" t="inlineStr">
        <is>
          <t>Parallel-run week explicitly compares manifest digests; canonical_json is deterministic by spec but Python version drift could shift behaviour</t>
        </is>
      </c>
      <c r="H18" s="3" t="inlineStr">
        <is>
          <t>Tech Lead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30" customWidth="1" min="4" max="4"/>
    <col width="13" customWidth="1" min="5" max="5"/>
    <col width="55" customWidth="1" min="6" max="6"/>
  </cols>
  <sheetData>
    <row r="1" ht="24" customHeight="1">
      <c r="A1" s="1" t="inlineStr">
        <is>
          <t>Open Decisions</t>
        </is>
      </c>
    </row>
    <row r="3" ht="30" customHeight="1">
      <c r="A3" s="2" t="inlineStr">
        <is>
          <t>Decision ID</t>
        </is>
      </c>
      <c r="B3" s="2" t="inlineStr">
        <is>
          <t>Description</t>
        </is>
      </c>
      <c r="C3" s="2" t="inlineStr">
        <is>
          <t>Phase Impact</t>
        </is>
      </c>
      <c r="D3" s="2" t="inlineStr">
        <is>
          <t>Owner</t>
        </is>
      </c>
      <c r="E3" s="2" t="inlineStr">
        <is>
          <t>Due Date</t>
        </is>
      </c>
      <c r="F3" s="2" t="inlineStr">
        <is>
          <t>Impact if not decided</t>
        </is>
      </c>
    </row>
    <row r="4">
      <c r="A4" s="3" t="inlineStr">
        <is>
          <t>D01</t>
        </is>
      </c>
      <c r="B4" s="3" t="inlineStr">
        <is>
          <t>Data drift detection framework: which metrics (PSI / KL-divergence / feature-distribution shift)? What window? Manual review vs automated alerting?</t>
        </is>
      </c>
      <c r="C4" s="3" t="inlineStr">
        <is>
          <t>P9a</t>
        </is>
      </c>
      <c r="D4" s="3" t="inlineStr">
        <is>
          <t>ABSA Risk Owner + EXL ML Eng</t>
        </is>
      </c>
      <c r="E4" s="5" t="n">
        <v>46173</v>
      </c>
      <c r="F4" s="3" t="inlineStr">
        <is>
          <t>Cannot ship dashboards (Phase 8b) without agreed drift metrics. Steady state ops lacks anomaly framework.</t>
        </is>
      </c>
    </row>
    <row r="5">
      <c r="A5" s="3" t="inlineStr">
        <is>
          <t>D02</t>
        </is>
      </c>
      <c r="B5" s="3" t="inlineStr">
        <is>
          <t>Change management cadence: production-change approval — registry's approve/retire state machine or separate Jira workflow?</t>
        </is>
      </c>
      <c r="C5" s="3" t="inlineStr">
        <is>
          <t>P5/P9a</t>
        </is>
      </c>
      <c r="D5" s="3" t="inlineStr">
        <is>
          <t>Compliance Lead + ABSA Risk Owner</t>
        </is>
      </c>
      <c r="E5" s="5" t="n">
        <v>46112</v>
      </c>
      <c r="F5" s="3" t="inlineStr">
        <is>
          <t>Group 1 production releases blocked without an agreed change workflow.</t>
        </is>
      </c>
    </row>
    <row r="6">
      <c r="A6" s="3" t="inlineStr">
        <is>
          <t>D03</t>
        </is>
      </c>
      <c r="B6" s="3" t="inlineStr">
        <is>
          <t>Access / secret rotation cadence (IAM principals, registrar tokens, dashboard access). KMS signing key has a runbook; the rest don't.</t>
        </is>
      </c>
      <c r="C6" s="3" t="inlineStr">
        <is>
          <t>P5/P9a</t>
        </is>
      </c>
      <c r="D6" s="3" t="inlineStr">
        <is>
          <t>Compliance Lead</t>
        </is>
      </c>
      <c r="E6" s="5" t="n">
        <v>46142</v>
      </c>
      <c r="F6" s="3" t="inlineStr">
        <is>
          <t>Audit findings if rotation cadence not documented before steady state.</t>
        </is>
      </c>
    </row>
    <row r="7">
      <c r="A7" s="3" t="inlineStr">
        <is>
          <t>D04</t>
        </is>
      </c>
      <c r="B7" s="3" t="inlineStr">
        <is>
          <t>ML compute platform: Step Functions + Lambda OR SageMaker Pipelines?</t>
        </is>
      </c>
      <c r="C7" s="3" t="inlineStr">
        <is>
          <t>P4</t>
        </is>
      </c>
      <c r="D7" s="3" t="inlineStr">
        <is>
          <t>Tech Lead + Architecture Board</t>
        </is>
      </c>
      <c r="E7" s="5" t="n">
        <v>46081</v>
      </c>
      <c r="F7" s="3" t="inlineStr">
        <is>
          <t>Blocks Phase 4 ML compute setup. Affects pipeline-factory ASL renderer scope.</t>
        </is>
      </c>
    </row>
    <row r="8">
      <c r="A8" s="3" t="inlineStr">
        <is>
          <t>D05</t>
        </is>
      </c>
      <c r="B8" s="3" t="inlineStr">
        <is>
          <t>Real-time scoring tier SLA: what's the response budget? Lambda+APIGW / ECS Fargate / SageMaker endpoint?</t>
        </is>
      </c>
      <c r="C8" s="3" t="inlineStr">
        <is>
          <t>P4</t>
        </is>
      </c>
      <c r="D8" s="3" t="inlineStr">
        <is>
          <t>Tech Lead + ABSA Architect</t>
        </is>
      </c>
      <c r="E8" s="5" t="n">
        <v>46112</v>
      </c>
      <c r="F8" s="3" t="inlineStr">
        <is>
          <t>Realtime ASL template is currently a placeholder. SLA drives the implementation choice.</t>
        </is>
      </c>
    </row>
    <row r="9">
      <c r="A9" s="3" t="inlineStr">
        <is>
          <t>D06</t>
        </is>
      </c>
      <c r="B9" s="3" t="inlineStr">
        <is>
          <t>Data-movement choice: S3 cross-account replication or SFTP transfer for scoring inputs/outputs?</t>
        </is>
      </c>
      <c r="C9" s="3" t="inlineStr">
        <is>
          <t>P2</t>
        </is>
      </c>
      <c r="D9" s="3" t="inlineStr">
        <is>
          <t>ABSA Architect + EXL Cloud Eng</t>
        </is>
      </c>
      <c r="E9" s="5" t="n">
        <v>46068</v>
      </c>
      <c r="F9" s="3" t="inlineStr">
        <is>
          <t>Blocks Phase 2 secure transfer build. Both directions need this lock.</t>
        </is>
      </c>
    </row>
    <row r="10">
      <c r="A10" s="3" t="inlineStr">
        <is>
          <t>D07</t>
        </is>
      </c>
      <c r="B10" s="3" t="inlineStr">
        <is>
          <t>Multi-region: is the platform single-region (eu-west-1) or multi-region from day 1?</t>
        </is>
      </c>
      <c r="C10" s="3" t="inlineStr">
        <is>
          <t>P4</t>
        </is>
      </c>
      <c r="D10" s="3" t="inlineStr">
        <is>
          <t>ABSA Architect</t>
        </is>
      </c>
      <c r="E10" s="5" t="n">
        <v>46096</v>
      </c>
      <c r="F10" s="3" t="inlineStr">
        <is>
          <t>Affects KMS replica strategy, signing-foundation scope, runbook structure.</t>
        </is>
      </c>
    </row>
    <row r="11">
      <c r="A11" s="3" t="inlineStr">
        <is>
          <t>D08</t>
        </is>
      </c>
      <c r="B11" s="3" t="inlineStr">
        <is>
          <t>Dashboard hosting: Grafana / CloudWatch native / QuickSight / something ABSA-supplied?</t>
        </is>
      </c>
      <c r="C11" s="3" t="inlineStr">
        <is>
          <t>P8b</t>
        </is>
      </c>
      <c r="D11" s="3" t="inlineStr">
        <is>
          <t>Program Mgr + ABSA Risk Owner</t>
        </is>
      </c>
      <c r="E11" s="5" t="n">
        <v>46142</v>
      </c>
      <c r="F11" s="3" t="inlineStr">
        <is>
          <t>Dashboard build (Phase 8b) blocked without tool decision.</t>
        </is>
      </c>
    </row>
    <row r="12">
      <c r="A12" s="3" t="inlineStr">
        <is>
          <t>D09</t>
        </is>
      </c>
      <c r="B12" s="3" t="inlineStr">
        <is>
          <t>Output delivery format to ABSA: signed S3 bucket / SFTP push / API pull?</t>
        </is>
      </c>
      <c r="C12" s="3" t="inlineStr">
        <is>
          <t>P8b</t>
        </is>
      </c>
      <c r="D12" s="3" t="inlineStr">
        <is>
          <t>ABSA Architect + EXL Cloud Eng</t>
        </is>
      </c>
      <c r="E12" s="5" t="n">
        <v>46142</v>
      </c>
      <c r="F12" s="3" t="inlineStr">
        <is>
          <t>Cannot finalize delivery runbook.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9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6" customHeight="1">
      <c r="A1" s="1" t="inlineStr">
        <is>
          <t>Program Dashboard</t>
        </is>
      </c>
    </row>
    <row r="3">
      <c r="A3" s="22" t="inlineStr">
        <is>
          <t>Tasks by Delivery Status</t>
        </is>
      </c>
      <c r="D3" s="22" t="inlineStr">
        <is>
          <t>Tasks by Owner</t>
        </is>
      </c>
    </row>
    <row r="4">
      <c r="A4" s="2" t="inlineStr">
        <is>
          <t>Owner</t>
        </is>
      </c>
      <c r="B4" s="2" t="inlineStr">
        <is>
          <t>Count</t>
        </is>
      </c>
      <c r="D4" t="inlineStr">
        <is>
          <t>Owner</t>
        </is>
      </c>
      <c r="E4" t="inlineStr">
        <is>
          <t>Count</t>
        </is>
      </c>
    </row>
    <row r="5">
      <c r="A5" s="23" t="inlineStr">
        <is>
          <t>Done</t>
        </is>
      </c>
      <c r="B5" s="24">
        <f>COUNTIF('Master Task List'!O:O,"Done")</f>
        <v/>
      </c>
      <c r="D5" s="25" t="inlineStr">
        <is>
          <t>BOTH</t>
        </is>
      </c>
      <c r="E5" s="25">
        <f>COUNTIF('Master Task List'!E:E,"BOTH")</f>
        <v/>
      </c>
    </row>
    <row r="6">
      <c r="A6" s="26" t="inlineStr">
        <is>
          <t>Partial</t>
        </is>
      </c>
      <c r="B6" s="24">
        <f>COUNTIF('Master Task List'!O:O,"Partial")</f>
        <v/>
      </c>
      <c r="D6" s="25" t="inlineStr">
        <is>
          <t>EXL</t>
        </is>
      </c>
      <c r="E6" s="25">
        <f>COUNTIF('Master Task List'!E:E,"EXL")</f>
        <v/>
      </c>
    </row>
    <row r="7">
      <c r="A7" s="27" t="inlineStr">
        <is>
          <t>Planned</t>
        </is>
      </c>
      <c r="B7" s="24">
        <f>COUNTIF('Master Task List'!O:O,"Planned")</f>
        <v/>
      </c>
      <c r="D7" s="25" t="inlineStr">
        <is>
          <t>ABSA</t>
        </is>
      </c>
      <c r="E7" s="25">
        <f>COUNTIF('Master Task List'!E:E,"ABSA")</f>
        <v/>
      </c>
    </row>
    <row r="8">
      <c r="A8" s="28" t="inlineStr">
        <is>
          <t>Blocked</t>
        </is>
      </c>
      <c r="B8" s="24">
        <f>COUNTIF('Master Task List'!O:O,"Blocked")</f>
        <v/>
      </c>
      <c r="D8" s="25" t="inlineStr">
        <is>
          <t>EXL (ABSA Side)</t>
        </is>
      </c>
      <c r="E8" s="25">
        <f>COUNTIF('Master Task List'!E:E,"EXL (ABSA Side)")</f>
        <v/>
      </c>
    </row>
    <row r="9">
      <c r="A9" s="29" t="inlineStr">
        <is>
          <t>In Progress</t>
        </is>
      </c>
      <c r="B9" s="24">
        <f>COUNTIF('Master Task List'!O:O,"In Progress")</f>
        <v/>
      </c>
    </row>
    <row r="10">
      <c r="A10" s="30" t="inlineStr">
        <is>
          <t>Not Started</t>
        </is>
      </c>
      <c r="B10" s="24">
        <f>COUNTIF('Master Task List'!O:O,"Not Started")</f>
        <v/>
      </c>
    </row>
    <row r="11">
      <c r="A11" s="31" t="inlineStr">
        <is>
          <t>Total</t>
        </is>
      </c>
      <c r="B11" s="31">
        <f>SUM(B5:B10)</f>
        <v/>
      </c>
    </row>
    <row r="14">
      <c r="A14" s="22" t="inlineStr">
        <is>
          <t>Tasks by Phase</t>
        </is>
      </c>
    </row>
    <row r="15">
      <c r="A15" s="2" t="inlineStr">
        <is>
          <t>Phase</t>
        </is>
      </c>
      <c r="B15" s="2" t="inlineStr">
        <is>
          <t>Title</t>
        </is>
      </c>
      <c r="C15" s="2" t="inlineStr">
        <is>
          <t>Tasks</t>
        </is>
      </c>
      <c r="D15" s="2" t="inlineStr">
        <is>
          <t>Effort (d)</t>
        </is>
      </c>
      <c r="E15" s="2" t="inlineStr">
        <is>
          <t>Blocked</t>
        </is>
      </c>
      <c r="F15" s="2" t="inlineStr">
        <is>
          <t>Done</t>
        </is>
      </c>
    </row>
    <row r="16">
      <c r="A16" s="25" t="inlineStr">
        <is>
          <t>P1</t>
        </is>
      </c>
      <c r="B16" s="25" t="inlineStr">
        <is>
          <t>Governance</t>
        </is>
      </c>
      <c r="C16" s="25">
        <f>COUNTIF('Master Task List'!B:B,"P1")</f>
        <v/>
      </c>
      <c r="D16" s="25">
        <f>SUMIF('Master Task List'!B:B,"P1",'Master Task List'!I:I)</f>
        <v/>
      </c>
      <c r="E16" s="25">
        <f>COUNTIFS('Master Task List'!B:B,"P1",'Master Task List'!O:O,"Blocked")</f>
        <v/>
      </c>
      <c r="F16" s="25">
        <f>COUNTIFS('Master Task List'!B:B,"P1",'Master Task List'!O:O,"Done")</f>
        <v/>
      </c>
    </row>
    <row r="17">
      <c r="A17" s="25" t="inlineStr">
        <is>
          <t>P2</t>
        </is>
      </c>
      <c r="B17" s="25" t="inlineStr">
        <is>
          <t>Architecture</t>
        </is>
      </c>
      <c r="C17" s="25">
        <f>COUNTIF('Master Task List'!B:B,"P2")</f>
        <v/>
      </c>
      <c r="D17" s="25">
        <f>SUMIF('Master Task List'!B:B,"P2",'Master Task List'!I:I)</f>
        <v/>
      </c>
      <c r="E17" s="25">
        <f>COUNTIFS('Master Task List'!B:B,"P2",'Master Task List'!O:O,"Blocked")</f>
        <v/>
      </c>
      <c r="F17" s="25">
        <f>COUNTIFS('Master Task List'!B:B,"P2",'Master Task List'!O:O,"Done")</f>
        <v/>
      </c>
    </row>
    <row r="18">
      <c r="A18" s="25" t="inlineStr">
        <is>
          <t>P3</t>
        </is>
      </c>
      <c r="B18" s="25" t="inlineStr">
        <is>
          <t>Data/Code Readiness</t>
        </is>
      </c>
      <c r="C18" s="25">
        <f>COUNTIF('Master Task List'!B:B,"P3")</f>
        <v/>
      </c>
      <c r="D18" s="25">
        <f>SUMIF('Master Task List'!B:B,"P3",'Master Task List'!I:I)</f>
        <v/>
      </c>
      <c r="E18" s="25">
        <f>COUNTIFS('Master Task List'!B:B,"P3",'Master Task List'!O:O,"Blocked")</f>
        <v/>
      </c>
      <c r="F18" s="25">
        <f>COUNTIFS('Master Task List'!B:B,"P3",'Master Task List'!O:O,"Done")</f>
        <v/>
      </c>
    </row>
    <row r="19">
      <c r="A19" s="25" t="inlineStr">
        <is>
          <t>P4</t>
        </is>
      </c>
      <c r="B19" s="25" t="inlineStr">
        <is>
          <t>Platform Foundation</t>
        </is>
      </c>
      <c r="C19" s="25">
        <f>COUNTIF('Master Task List'!B:B,"P4")</f>
        <v/>
      </c>
      <c r="D19" s="25">
        <f>SUMIF('Master Task List'!B:B,"P4",'Master Task List'!I:I)</f>
        <v/>
      </c>
      <c r="E19" s="25">
        <f>COUNTIFS('Master Task List'!B:B,"P4",'Master Task List'!O:O,"Blocked")</f>
        <v/>
      </c>
      <c r="F19" s="25">
        <f>COUNTIFS('Master Task List'!B:B,"P4",'Master Task List'!O:O,"Done")</f>
        <v/>
      </c>
    </row>
    <row r="20">
      <c r="A20" s="25" t="inlineStr">
        <is>
          <t>P5</t>
        </is>
      </c>
      <c r="B20" s="25" t="inlineStr">
        <is>
          <t>Controls</t>
        </is>
      </c>
      <c r="C20" s="25">
        <f>COUNTIF('Master Task List'!B:B,"P5")</f>
        <v/>
      </c>
      <c r="D20" s="25">
        <f>SUMIF('Master Task List'!B:B,"P5",'Master Task List'!I:I)</f>
        <v/>
      </c>
      <c r="E20" s="25">
        <f>COUNTIFS('Master Task List'!B:B,"P5",'Master Task List'!O:O,"Blocked")</f>
        <v/>
      </c>
      <c r="F20" s="25">
        <f>COUNTIFS('Master Task List'!B:B,"P5",'Master Task List'!O:O,"Done")</f>
        <v/>
      </c>
    </row>
    <row r="21">
      <c r="A21" s="25" t="inlineStr">
        <is>
          <t>P6</t>
        </is>
      </c>
      <c r="B21" s="25" t="inlineStr">
        <is>
          <t>Code Optimization</t>
        </is>
      </c>
      <c r="C21" s="25">
        <f>COUNTIF('Master Task List'!B:B,"P6")</f>
        <v/>
      </c>
      <c r="D21" s="25">
        <f>SUMIF('Master Task List'!B:B,"P6",'Master Task List'!I:I)</f>
        <v/>
      </c>
      <c r="E21" s="25">
        <f>COUNTIFS('Master Task List'!B:B,"P6",'Master Task List'!O:O,"Blocked")</f>
        <v/>
      </c>
      <c r="F21" s="25">
        <f>COUNTIFS('Master Task List'!B:B,"P6",'Master Task List'!O:O,"Done")</f>
        <v/>
      </c>
    </row>
    <row r="22">
      <c r="A22" s="32" t="inlineStr">
        <is>
          <t>P7</t>
        </is>
      </c>
      <c r="B22" s="32" t="inlineStr">
        <is>
          <t>Group 1 (2 models)</t>
        </is>
      </c>
      <c r="C22" s="32">
        <f>COUNTIF('Master Task List'!B:B,"P7")</f>
        <v/>
      </c>
      <c r="D22" s="32">
        <f>SUMIF('Master Task List'!B:B,"P7",'Master Task List'!I:I)</f>
        <v/>
      </c>
      <c r="E22" s="32">
        <f>COUNTIFS('Master Task List'!B:B,"P7",'Master Task List'!O:O,"Blocked")</f>
        <v/>
      </c>
      <c r="F22" s="32">
        <f>COUNTIFS('Master Task List'!B:B,"P7",'Master Task List'!O:O,"Done")</f>
        <v/>
      </c>
    </row>
    <row r="23">
      <c r="A23" s="25" t="inlineStr">
        <is>
          <t>P8a</t>
        </is>
      </c>
      <c r="B23" s="25" t="inlineStr">
        <is>
          <t>Group 2 (8 models)</t>
        </is>
      </c>
      <c r="C23" s="25">
        <f>COUNTIF('Master Task List'!B:B,"P8a")</f>
        <v/>
      </c>
      <c r="D23" s="25">
        <f>SUMIF('Master Task List'!B:B,"P8a",'Master Task List'!I:I)</f>
        <v/>
      </c>
      <c r="E23" s="25">
        <f>COUNTIFS('Master Task List'!B:B,"P8a",'Master Task List'!O:O,"Blocked")</f>
        <v/>
      </c>
      <c r="F23" s="25">
        <f>COUNTIFS('Master Task List'!B:B,"P8a",'Master Task List'!O:O,"Done")</f>
        <v/>
      </c>
    </row>
    <row r="24">
      <c r="A24" s="25" t="inlineStr">
        <is>
          <t>P8b</t>
        </is>
      </c>
      <c r="B24" s="25" t="inlineStr">
        <is>
          <t>Dashboards</t>
        </is>
      </c>
      <c r="C24" s="25">
        <f>COUNTIF('Master Task List'!B:B,"P8b")</f>
        <v/>
      </c>
      <c r="D24" s="25">
        <f>SUMIF('Master Task List'!B:B,"P8b",'Master Task List'!I:I)</f>
        <v/>
      </c>
      <c r="E24" s="25">
        <f>COUNTIFS('Master Task List'!B:B,"P8b",'Master Task List'!O:O,"Blocked")</f>
        <v/>
      </c>
      <c r="F24" s="25">
        <f>COUNTIFS('Master Task List'!B:B,"P8b",'Master Task List'!O:O,"Done")</f>
        <v/>
      </c>
    </row>
    <row r="25">
      <c r="A25" s="25" t="inlineStr">
        <is>
          <t>P9a</t>
        </is>
      </c>
      <c r="B25" s="25" t="inlineStr">
        <is>
          <t>Steady State</t>
        </is>
      </c>
      <c r="C25" s="25">
        <f>COUNTIF('Master Task List'!B:B,"P9a")</f>
        <v/>
      </c>
      <c r="D25" s="25">
        <f>SUMIF('Master Task List'!B:B,"P9a",'Master Task List'!I:I)</f>
        <v/>
      </c>
      <c r="E25" s="25">
        <f>COUNTIFS('Master Task List'!B:B,"P9a",'Master Task List'!O:O,"Blocked")</f>
        <v/>
      </c>
      <c r="F25" s="25">
        <f>COUNTIFS('Master Task List'!B:B,"P9a",'Master Task List'!O:O,"Done")</f>
        <v/>
      </c>
    </row>
    <row r="26">
      <c r="A26" s="25" t="inlineStr">
        <is>
          <t>P9b</t>
        </is>
      </c>
      <c r="B26" s="25" t="inlineStr">
        <is>
          <t>New Model Onboarding</t>
        </is>
      </c>
      <c r="C26" s="25">
        <f>COUNTIF('Master Task List'!B:B,"P9b")</f>
        <v/>
      </c>
      <c r="D26" s="25">
        <f>SUMIF('Master Task List'!B:B,"P9b",'Master Task List'!I:I)</f>
        <v/>
      </c>
      <c r="E26" s="25">
        <f>COUNTIFS('Master Task List'!B:B,"P9b",'Master Task List'!O:O,"Blocked")</f>
        <v/>
      </c>
      <c r="F26" s="25">
        <f>COUNTIFS('Master Task List'!B:B,"P9b",'Master Task List'!O:O,"Done")</f>
        <v/>
      </c>
    </row>
    <row r="27">
      <c r="A27" s="25" t="inlineStr">
        <is>
          <t>M1</t>
        </is>
      </c>
      <c r="B27" s="25" t="inlineStr">
        <is>
          <t>Jenkins: Foundation</t>
        </is>
      </c>
      <c r="C27" s="25">
        <f>COUNTIF('Master Task List'!B:B,"M1")</f>
        <v/>
      </c>
      <c r="D27" s="25">
        <f>SUMIF('Master Task List'!B:B,"M1",'Master Task List'!I:I)</f>
        <v/>
      </c>
      <c r="E27" s="25">
        <f>COUNTIFS('Master Task List'!B:B,"M1",'Master Task List'!O:O,"Blocked")</f>
        <v/>
      </c>
      <c r="F27" s="25">
        <f>COUNTIFS('Master Task List'!B:B,"M1",'Master Task List'!O:O,"Done")</f>
        <v/>
      </c>
    </row>
    <row r="28">
      <c r="A28" s="25" t="inlineStr">
        <is>
          <t>M2</t>
        </is>
      </c>
      <c r="B28" s="25" t="inlineStr">
        <is>
          <t>Jenkins: AWS-touching</t>
        </is>
      </c>
      <c r="C28" s="25">
        <f>COUNTIF('Master Task List'!B:B,"M2")</f>
        <v/>
      </c>
      <c r="D28" s="25">
        <f>SUMIF('Master Task List'!B:B,"M2",'Master Task List'!I:I)</f>
        <v/>
      </c>
      <c r="E28" s="25">
        <f>COUNTIFS('Master Task List'!B:B,"M2",'Master Task List'!O:O,"Blocked")</f>
        <v/>
      </c>
      <c r="F28" s="25">
        <f>COUNTIFS('Master Task List'!B:B,"M2",'Master Task List'!O:O,"Done")</f>
        <v/>
      </c>
    </row>
    <row r="29">
      <c r="A29" s="25" t="inlineStr">
        <is>
          <t>M3</t>
        </is>
      </c>
      <c r="B29" s="25" t="inlineStr">
        <is>
          <t>Jenkins: Cutover</t>
        </is>
      </c>
      <c r="C29" s="25">
        <f>COUNTIF('Master Task List'!B:B,"M3")</f>
        <v/>
      </c>
      <c r="D29" s="25">
        <f>SUMIF('Master Task List'!B:B,"M3",'Master Task List'!I:I)</f>
        <v/>
      </c>
      <c r="E29" s="25">
        <f>COUNTIFS('Master Task List'!B:B,"M3",'Master Task List'!O:O,"Blocked")</f>
        <v/>
      </c>
      <c r="F29" s="25">
        <f>COUNTIFS('Master Task List'!B:B,"M3",'Master Task List'!O:O,"Done")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2026-06-11T13:34:41Z</dcterms:created>
  <dcterms:modified xsi:type="dcterms:W3CDTF">2026-06-11T13:34:41Z</dcterms:modified>
</cp:coreProperties>
</file>